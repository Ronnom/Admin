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85993519-9C4B-4AC0-B413-BD6793635ED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Cleaned_Data" sheetId="9" r:id="rId1"/>
    <sheet name="Table1_6" sheetId="8" r:id="rId2"/>
    <sheet name="Table1_5" sheetId="7" r:id="rId3"/>
    <sheet name="Table1_4" sheetId="6" r:id="rId4"/>
    <sheet name="Table1_3" sheetId="5" r:id="rId5"/>
    <sheet name="Table1_2" sheetId="4" r:id="rId6"/>
    <sheet name="Table1_1" sheetId="3" r:id="rId7"/>
    <sheet name="Table1" sheetId="2" r:id="rId8"/>
    <sheet name="Raw_Data" sheetId="1" r:id="rId9"/>
  </sheets>
  <definedNames>
    <definedName name="ExternalData_1" localSheetId="7" hidden="1">Table1!$A$1:$L$266</definedName>
    <definedName name="ExternalData_2" localSheetId="6" hidden="1">Table1_1!$A$1:$L$266</definedName>
    <definedName name="ExternalData_3" localSheetId="5" hidden="1">Table1_2!$A$1:$L$266</definedName>
    <definedName name="ExternalData_4" localSheetId="4" hidden="1">Table1_3!$A$1:$L$174</definedName>
    <definedName name="ExternalData_5" localSheetId="3" hidden="1">Table1_4!$A$1:$P$174</definedName>
    <definedName name="ExternalData_6" localSheetId="2" hidden="1">Table1_5!$A$1:$O$146</definedName>
    <definedName name="ExternalData_7" localSheetId="1" hidden="1">Table1_6!$A$1:$O$146</definedName>
    <definedName name="ExternalData_8" localSheetId="0" hidden="1">Cleaned_Data!$A$1:$O$146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O2" i="5" a="1"/>
  <c r="O2" i="5" s="1"/>
  <c r="O3" i="5" a="1"/>
  <c r="O3" i="5"/>
  <c r="O4" i="5" a="1"/>
  <c r="O4" i="5"/>
  <c r="O5" i="5" a="1"/>
  <c r="O5" i="5"/>
  <c r="O6" i="5" a="1"/>
  <c r="O6" i="5" s="1"/>
  <c r="O7" i="5" a="1"/>
  <c r="O7" i="5"/>
  <c r="O8" i="5" a="1"/>
  <c r="O8" i="5"/>
  <c r="O9" i="5" a="1"/>
  <c r="O9" i="5"/>
  <c r="O10" i="5" a="1"/>
  <c r="O10" i="5" s="1"/>
  <c r="O11" i="5" a="1"/>
  <c r="O11" i="5" s="1"/>
  <c r="O12" i="5" a="1"/>
  <c r="O12" i="5"/>
  <c r="O13" i="5" a="1"/>
  <c r="O13" i="5"/>
  <c r="O14" i="5" a="1"/>
  <c r="O14" i="5" s="1"/>
  <c r="O15" i="5" a="1"/>
  <c r="O15" i="5"/>
  <c r="O16" i="5" a="1"/>
  <c r="O16" i="5"/>
  <c r="O17" i="5" a="1"/>
  <c r="O17" i="5"/>
  <c r="O18" i="5" a="1"/>
  <c r="O18" i="5" s="1"/>
  <c r="O19" i="5" a="1"/>
  <c r="O19" i="5" s="1"/>
  <c r="O20" i="5" a="1"/>
  <c r="O20" i="5"/>
  <c r="O21" i="5" a="1"/>
  <c r="O21" i="5"/>
  <c r="O22" i="5" a="1"/>
  <c r="O22" i="5" s="1"/>
  <c r="O23" i="5" a="1"/>
  <c r="O23" i="5"/>
  <c r="O24" i="5" a="1"/>
  <c r="O24" i="5"/>
  <c r="O25" i="5" a="1"/>
  <c r="O25" i="5"/>
  <c r="O26" i="5" a="1"/>
  <c r="O26" i="5" s="1"/>
  <c r="O27" i="5" a="1"/>
  <c r="O27" i="5" s="1"/>
  <c r="O28" i="5" a="1"/>
  <c r="O28" i="5"/>
  <c r="O29" i="5" a="1"/>
  <c r="O29" i="5"/>
  <c r="O30" i="5" a="1"/>
  <c r="O30" i="5" s="1"/>
  <c r="O31" i="5" a="1"/>
  <c r="O31" i="5"/>
  <c r="O32" i="5" a="1"/>
  <c r="O32" i="5"/>
  <c r="O33" i="5" a="1"/>
  <c r="O33" i="5"/>
  <c r="O34" i="5" a="1"/>
  <c r="O34" i="5" s="1"/>
  <c r="O35" i="5" a="1"/>
  <c r="O35" i="5" s="1"/>
  <c r="O36" i="5" a="1"/>
  <c r="O36" i="5"/>
  <c r="O37" i="5" a="1"/>
  <c r="O37" i="5"/>
  <c r="O38" i="5" a="1"/>
  <c r="O38" i="5" s="1"/>
  <c r="O39" i="5" a="1"/>
  <c r="O39" i="5"/>
  <c r="O40" i="5" a="1"/>
  <c r="O40" i="5"/>
  <c r="O41" i="5" a="1"/>
  <c r="O41" i="5"/>
  <c r="O42" i="5" a="1"/>
  <c r="O42" i="5" s="1"/>
  <c r="O43" i="5" a="1"/>
  <c r="O43" i="5" s="1"/>
  <c r="O44" i="5" a="1"/>
  <c r="O44" i="5"/>
  <c r="O45" i="5" a="1"/>
  <c r="O45" i="5"/>
  <c r="O46" i="5" a="1"/>
  <c r="O46" i="5" s="1"/>
  <c r="O47" i="5" a="1"/>
  <c r="O47" i="5"/>
  <c r="O48" i="5" a="1"/>
  <c r="O48" i="5"/>
  <c r="O49" i="5" a="1"/>
  <c r="O49" i="5"/>
  <c r="O50" i="5" a="1"/>
  <c r="O50" i="5" s="1"/>
  <c r="O51" i="5" a="1"/>
  <c r="O51" i="5" s="1"/>
  <c r="O52" i="5" a="1"/>
  <c r="O52" i="5"/>
  <c r="O53" i="5" a="1"/>
  <c r="O53" i="5"/>
  <c r="O54" i="5" a="1"/>
  <c r="O54" i="5" s="1"/>
  <c r="O55" i="5" a="1"/>
  <c r="O55" i="5"/>
  <c r="O56" i="5" a="1"/>
  <c r="O56" i="5"/>
  <c r="O57" i="5" a="1"/>
  <c r="O57" i="5"/>
  <c r="O58" i="5" a="1"/>
  <c r="O58" i="5" s="1"/>
  <c r="O59" i="5" a="1"/>
  <c r="O59" i="5" s="1"/>
  <c r="O60" i="5" a="1"/>
  <c r="O60" i="5"/>
  <c r="O61" i="5" a="1"/>
  <c r="O61" i="5"/>
  <c r="O62" i="5" a="1"/>
  <c r="O62" i="5" s="1"/>
  <c r="O63" i="5" a="1"/>
  <c r="O63" i="5"/>
  <c r="O64" i="5" a="1"/>
  <c r="O64" i="5"/>
  <c r="O65" i="5" a="1"/>
  <c r="O65" i="5"/>
  <c r="O66" i="5" a="1"/>
  <c r="O66" i="5" s="1"/>
  <c r="O67" i="5" a="1"/>
  <c r="O67" i="5" s="1"/>
  <c r="O68" i="5" a="1"/>
  <c r="O68" i="5"/>
  <c r="O69" i="5" a="1"/>
  <c r="O69" i="5"/>
  <c r="O70" i="5" a="1"/>
  <c r="O70" i="5" s="1"/>
  <c r="O71" i="5" a="1"/>
  <c r="O71" i="5"/>
  <c r="O72" i="5" a="1"/>
  <c r="O72" i="5"/>
  <c r="O73" i="5" a="1"/>
  <c r="O73" i="5"/>
  <c r="O74" i="5" a="1"/>
  <c r="O74" i="5" s="1"/>
  <c r="O75" i="5" a="1"/>
  <c r="O75" i="5" s="1"/>
  <c r="O76" i="5" a="1"/>
  <c r="O76" i="5"/>
  <c r="O77" i="5" a="1"/>
  <c r="O77" i="5"/>
  <c r="O78" i="5" a="1"/>
  <c r="O78" i="5" s="1"/>
  <c r="O79" i="5" a="1"/>
  <c r="O79" i="5"/>
  <c r="O80" i="5" a="1"/>
  <c r="O80" i="5"/>
  <c r="O81" i="5" a="1"/>
  <c r="O81" i="5"/>
  <c r="O82" i="5" a="1"/>
  <c r="O82" i="5" s="1"/>
  <c r="O83" i="5" a="1"/>
  <c r="O83" i="5" s="1"/>
  <c r="O84" i="5" a="1"/>
  <c r="O84" i="5"/>
  <c r="O85" i="5" a="1"/>
  <c r="O85" i="5"/>
  <c r="O86" i="5" a="1"/>
  <c r="O86" i="5" s="1"/>
  <c r="O87" i="5" a="1"/>
  <c r="O87" i="5"/>
  <c r="O88" i="5" a="1"/>
  <c r="O88" i="5"/>
  <c r="O89" i="5" a="1"/>
  <c r="O89" i="5"/>
  <c r="O90" i="5" a="1"/>
  <c r="O90" i="5" s="1"/>
  <c r="O91" i="5" a="1"/>
  <c r="O91" i="5" s="1"/>
  <c r="O92" i="5" a="1"/>
  <c r="O92" i="5"/>
  <c r="O93" i="5" a="1"/>
  <c r="O93" i="5"/>
  <c r="O94" i="5" a="1"/>
  <c r="O94" i="5" s="1"/>
  <c r="O95" i="5" a="1"/>
  <c r="O95" i="5"/>
  <c r="O96" i="5" a="1"/>
  <c r="O96" i="5"/>
  <c r="O97" i="5" a="1"/>
  <c r="O97" i="5"/>
  <c r="O98" i="5" a="1"/>
  <c r="O98" i="5" s="1"/>
  <c r="O99" i="5" a="1"/>
  <c r="O99" i="5" s="1"/>
  <c r="O100" i="5" a="1"/>
  <c r="O100" i="5"/>
  <c r="O101" i="5" a="1"/>
  <c r="O101" i="5"/>
  <c r="O102" i="5" a="1"/>
  <c r="O102" i="5" s="1"/>
  <c r="O103" i="5" a="1"/>
  <c r="O103" i="5"/>
  <c r="O104" i="5" a="1"/>
  <c r="O104" i="5"/>
  <c r="O105" i="5" a="1"/>
  <c r="O105" i="5"/>
  <c r="O106" i="5" a="1"/>
  <c r="O106" i="5" s="1"/>
  <c r="O107" i="5" a="1"/>
  <c r="O107" i="5" s="1"/>
  <c r="O108" i="5" a="1"/>
  <c r="O108" i="5"/>
  <c r="O109" i="5" a="1"/>
  <c r="O109" i="5"/>
  <c r="O110" i="5" a="1"/>
  <c r="O110" i="5" s="1"/>
  <c r="O111" i="5" a="1"/>
  <c r="O111" i="5"/>
  <c r="O112" i="5" a="1"/>
  <c r="O112" i="5"/>
  <c r="O113" i="5" a="1"/>
  <c r="O113" i="5"/>
  <c r="O114" i="5" a="1"/>
  <c r="O114" i="5" s="1"/>
  <c r="O115" i="5" a="1"/>
  <c r="O115" i="5" s="1"/>
  <c r="O116" i="5" a="1"/>
  <c r="O116" i="5"/>
  <c r="O117" i="5" a="1"/>
  <c r="O117" i="5"/>
  <c r="O118" i="5" a="1"/>
  <c r="O118" i="5" s="1"/>
  <c r="O119" i="5" a="1"/>
  <c r="O119" i="5"/>
  <c r="O120" i="5" a="1"/>
  <c r="O120" i="5"/>
  <c r="O121" i="5" a="1"/>
  <c r="O121" i="5"/>
  <c r="O122" i="5" a="1"/>
  <c r="O122" i="5" s="1"/>
  <c r="O123" i="5" a="1"/>
  <c r="O123" i="5" s="1"/>
  <c r="O124" i="5" a="1"/>
  <c r="O124" i="5"/>
  <c r="O125" i="5" a="1"/>
  <c r="O125" i="5"/>
  <c r="O126" i="5" a="1"/>
  <c r="O126" i="5" s="1"/>
  <c r="O127" i="5" a="1"/>
  <c r="O127" i="5"/>
  <c r="O128" i="5" a="1"/>
  <c r="O128" i="5"/>
  <c r="O129" i="5" a="1"/>
  <c r="O129" i="5"/>
  <c r="O130" i="5" a="1"/>
  <c r="O130" i="5" s="1"/>
  <c r="O131" i="5" a="1"/>
  <c r="O131" i="5" s="1"/>
  <c r="O132" i="5" a="1"/>
  <c r="O132" i="5"/>
  <c r="O133" i="5" a="1"/>
  <c r="O133" i="5"/>
  <c r="O134" i="5" a="1"/>
  <c r="O134" i="5" s="1"/>
  <c r="O135" i="5" a="1"/>
  <c r="O135" i="5"/>
  <c r="O136" i="5" a="1"/>
  <c r="O136" i="5"/>
  <c r="O137" i="5" a="1"/>
  <c r="O137" i="5"/>
  <c r="O138" i="5" a="1"/>
  <c r="O138" i="5" s="1"/>
  <c r="O139" i="5" a="1"/>
  <c r="O139" i="5" s="1"/>
  <c r="O140" i="5" a="1"/>
  <c r="O140" i="5"/>
  <c r="O141" i="5" a="1"/>
  <c r="O141" i="5"/>
  <c r="O142" i="5" a="1"/>
  <c r="O142" i="5" s="1"/>
  <c r="O143" i="5" a="1"/>
  <c r="O143" i="5"/>
  <c r="O144" i="5" a="1"/>
  <c r="O144" i="5"/>
  <c r="O145" i="5" a="1"/>
  <c r="O145" i="5"/>
  <c r="O146" i="5" a="1"/>
  <c r="O146" i="5" s="1"/>
  <c r="O147" i="5" a="1"/>
  <c r="O147" i="5" s="1"/>
  <c r="O148" i="5" a="1"/>
  <c r="O148" i="5"/>
  <c r="O149" i="5" a="1"/>
  <c r="O149" i="5"/>
  <c r="O150" i="5" a="1"/>
  <c r="O150" i="5" s="1"/>
  <c r="O151" i="5" a="1"/>
  <c r="O151" i="5"/>
  <c r="O152" i="5" a="1"/>
  <c r="O152" i="5"/>
  <c r="O153" i="5" a="1"/>
  <c r="O153" i="5"/>
  <c r="O154" i="5" a="1"/>
  <c r="O154" i="5" s="1"/>
  <c r="O155" i="5" a="1"/>
  <c r="O155" i="5" s="1"/>
  <c r="O156" i="5" a="1"/>
  <c r="O156" i="5"/>
  <c r="O157" i="5" a="1"/>
  <c r="O157" i="5"/>
  <c r="O158" i="5" a="1"/>
  <c r="O158" i="5" s="1"/>
  <c r="O159" i="5" a="1"/>
  <c r="O159" i="5"/>
  <c r="O160" i="5" a="1"/>
  <c r="O160" i="5"/>
  <c r="O161" i="5" a="1"/>
  <c r="O161" i="5"/>
  <c r="O162" i="5" a="1"/>
  <c r="O162" i="5" s="1"/>
  <c r="O163" i="5" a="1"/>
  <c r="O163" i="5" s="1"/>
  <c r="O164" i="5" a="1"/>
  <c r="O164" i="5"/>
  <c r="O165" i="5" a="1"/>
  <c r="O165" i="5"/>
  <c r="O166" i="5" a="1"/>
  <c r="O166" i="5" s="1"/>
  <c r="O167" i="5" a="1"/>
  <c r="O167" i="5"/>
  <c r="O168" i="5" a="1"/>
  <c r="O168" i="5"/>
  <c r="O169" i="5" a="1"/>
  <c r="O169" i="5"/>
  <c r="O170" i="5" a="1"/>
  <c r="O170" i="5" s="1"/>
  <c r="O171" i="5" a="1"/>
  <c r="O171" i="5" s="1"/>
  <c r="O172" i="5" a="1"/>
  <c r="O172" i="5"/>
  <c r="O173" i="5" a="1"/>
  <c r="O173" i="5"/>
  <c r="O174" i="5" a="1"/>
  <c r="O174" i="5" s="1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75C319E-179C-4B84-9A9D-B7BEE6C43861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080B01C8-5927-4B15-990B-10841C2C6A93}" keepAlive="1" name="Query - Table1_1" description="Connection to the 'Table1_1' query in the workbook." type="5" refreshedVersion="8" background="1" saveData="1">
    <dbPr connection="Provider=Microsoft.Mashup.OleDb.1;Data Source=$Workbook$;Location=Table1_1;Extended Properties=&quot;&quot;" command="SELECT * FROM [Table1_1]"/>
  </connection>
  <connection id="3" xr16:uid="{5E3F052A-9DC8-4417-B486-DB2202A959AF}" keepAlive="1" name="Query - Table1_2" description="Connection to the 'Table1_2' query in the workbook." type="5" refreshedVersion="8" background="1" saveData="1">
    <dbPr connection="Provider=Microsoft.Mashup.OleDb.1;Data Source=$Workbook$;Location=Table1_2;Extended Properties=&quot;&quot;" command="SELECT * FROM [Table1_2]"/>
  </connection>
  <connection id="4" xr16:uid="{93796996-33BD-44AA-928B-BA6E13CACBC1}" keepAlive="1" name="Query - Table1_3" description="Connection to the 'Table1_3' query in the workbook." type="5" refreshedVersion="8" background="1" saveData="1">
    <dbPr connection="Provider=Microsoft.Mashup.OleDb.1;Data Source=$Workbook$;Location=Table1_3;Extended Properties=&quot;&quot;" command="SELECT * FROM [Table1_3]"/>
  </connection>
  <connection id="5" xr16:uid="{1AA9A48F-8528-4FD8-AB43-6316A026F454}" keepAlive="1" name="Query - Table1_4" description="Connection to the 'Table1_4' query in the workbook." type="5" refreshedVersion="8" background="1" saveData="1">
    <dbPr connection="Provider=Microsoft.Mashup.OleDb.1;Data Source=$Workbook$;Location=Table1_4;Extended Properties=&quot;&quot;" command="SELECT * FROM [Table1_4]"/>
  </connection>
  <connection id="6" xr16:uid="{BDB33E2C-1F43-47B9-BACF-C0369D7E04CF}" keepAlive="1" name="Query - Table1_5" description="Connection to the 'Table1_5' query in the workbook." type="5" refreshedVersion="8" background="1" saveData="1">
    <dbPr connection="Provider=Microsoft.Mashup.OleDb.1;Data Source=$Workbook$;Location=Table1_5;Extended Properties=&quot;&quot;" command="SELECT * FROM [Table1_5]"/>
  </connection>
  <connection id="7" xr16:uid="{D81935C2-B0E0-4B71-B169-A67C9CC77650}" keepAlive="1" name="Query - Table1_6" description="Connection to the 'Table1_6' query in the workbook." type="5" refreshedVersion="8" background="1" saveData="1">
    <dbPr connection="Provider=Microsoft.Mashup.OleDb.1;Data Source=$Workbook$;Location=Table1_6;Extended Properties=&quot;&quot;" command="SELECT * FROM [Table1_6]"/>
  </connection>
  <connection id="8" xr16:uid="{E2C533E6-B6CB-4517-8135-E1CC4ACE483C}" keepAlive="1" name="Query - Table1_7" description="Connection to the 'Table1_7' query in the workbook." type="5" refreshedVersion="8" background="1" saveData="1">
    <dbPr connection="Provider=Microsoft.Mashup.OleDb.1;Data Source=$Workbook$;Location=Table1_7;Extended Properties=&quot;&quot;" command="SELECT * FROM [Table1_7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<sst xmlns="http://schemas.openxmlformats.org/spreadsheetml/2006/main" count="15777" uniqueCount="1024">
  <si>
    <t>Respondent_ID</t>
  </si>
  <si>
    <t>Full_Name</t>
  </si>
  <si>
    <t>Age</t>
  </si>
  <si>
    <t>Gender</t>
  </si>
  <si>
    <t>City</t>
  </si>
  <si>
    <t>Email_Address</t>
  </si>
  <si>
    <t>Satisfaction_Rating</t>
  </si>
  <si>
    <t>Purchase_Frequency</t>
  </si>
  <si>
    <t>Join_Date</t>
  </si>
  <si>
    <t>Last_Purchase_Date</t>
  </si>
  <si>
    <t>Account_Status</t>
  </si>
  <si>
    <t>Remarks</t>
  </si>
  <si>
    <t>Maria</t>
  </si>
  <si>
    <t>female</t>
  </si>
  <si>
    <t>dvo</t>
  </si>
  <si>
    <t>user0 yahoo</t>
  </si>
  <si>
    <t>4</t>
  </si>
  <si>
    <t>Weekly</t>
  </si>
  <si>
    <t>03/28/2024</t>
  </si>
  <si>
    <t>08-02-2024</t>
  </si>
  <si>
    <t>Inactive</t>
  </si>
  <si>
    <t>???</t>
  </si>
  <si>
    <t>Peter</t>
  </si>
  <si>
    <t>0</t>
  </si>
  <si>
    <t>Male</t>
  </si>
  <si>
    <t>Cagayan de Oro</t>
  </si>
  <si>
    <t>user1 gmail</t>
  </si>
  <si>
    <t>7</t>
  </si>
  <si>
    <t>Monthly</t>
  </si>
  <si>
    <t>27-05-2024</t>
  </si>
  <si>
    <t>2024/05/01</t>
  </si>
  <si>
    <t>--none--</t>
  </si>
  <si>
    <t>Marria</t>
  </si>
  <si>
    <t>-</t>
  </si>
  <si>
    <t>cebu</t>
  </si>
  <si>
    <t>user2 yahoo.com</t>
  </si>
  <si>
    <t>2</t>
  </si>
  <si>
    <t>2x/mo</t>
  </si>
  <si>
    <t>2024/03/03</t>
  </si>
  <si>
    <t>12-02-2024</t>
  </si>
  <si>
    <t>Active</t>
  </si>
  <si>
    <t xml:space="preserve"> satisfied </t>
  </si>
  <si>
    <t>femlae</t>
  </si>
  <si>
    <t>CdO</t>
  </si>
  <si>
    <t>user3outlook.com</t>
  </si>
  <si>
    <t>05/14/2024</t>
  </si>
  <si>
    <t>2024/04/08</t>
  </si>
  <si>
    <t>Ana  Marie</t>
  </si>
  <si>
    <t>Cagayan De oro</t>
  </si>
  <si>
    <t>user4 yahoo.com</t>
  </si>
  <si>
    <t>1</t>
  </si>
  <si>
    <t>09-01-2024</t>
  </si>
  <si>
    <t>28-01-2024</t>
  </si>
  <si>
    <t>Actve</t>
  </si>
  <si>
    <t>ok!!</t>
  </si>
  <si>
    <t>Female</t>
  </si>
  <si>
    <t>user5yahoo .com</t>
  </si>
  <si>
    <t>five</t>
  </si>
  <si>
    <t>03/19/2024</t>
  </si>
  <si>
    <t>17-04-2024</t>
  </si>
  <si>
    <t>active</t>
  </si>
  <si>
    <t xml:space="preserve">   bad   </t>
  </si>
  <si>
    <t>twenty-two</t>
  </si>
  <si>
    <t>male</t>
  </si>
  <si>
    <t>manila</t>
  </si>
  <si>
    <t>user6@@outlook .com</t>
  </si>
  <si>
    <t>5</t>
  </si>
  <si>
    <t>26-01-2024</t>
  </si>
  <si>
    <t>2024/06/08</t>
  </si>
  <si>
    <t>Unknown</t>
  </si>
  <si>
    <t>user7 outlook .com</t>
  </si>
  <si>
    <t>3</t>
  </si>
  <si>
    <t>2024/04/17</t>
  </si>
  <si>
    <t>02/10/2024</t>
  </si>
  <si>
    <t>Lizza</t>
  </si>
  <si>
    <t>user8@@gmail.com</t>
  </si>
  <si>
    <t>Bi-monthly</t>
  </si>
  <si>
    <t>2024/01/25</t>
  </si>
  <si>
    <t>very good</t>
  </si>
  <si>
    <t>P3ter</t>
  </si>
  <si>
    <t>MNL</t>
  </si>
  <si>
    <t>user9@@yahoo .com</t>
  </si>
  <si>
    <t>01-06-2024</t>
  </si>
  <si>
    <t>14-03-2024</t>
  </si>
  <si>
    <t>Manila</t>
  </si>
  <si>
    <t>user10outlook.com</t>
  </si>
  <si>
    <t>-1</t>
  </si>
  <si>
    <t>12-04-2024</t>
  </si>
  <si>
    <t>2024/04/11</t>
  </si>
  <si>
    <t>user11 gmail</t>
  </si>
  <si>
    <t>once</t>
  </si>
  <si>
    <t>19-01-2024</t>
  </si>
  <si>
    <t>2024/05/27</t>
  </si>
  <si>
    <t>user12@@outlook.com</t>
  </si>
  <si>
    <t>2024/01/26</t>
  </si>
  <si>
    <t>03/24/2024</t>
  </si>
  <si>
    <t>deact</t>
  </si>
  <si>
    <t xml:space="preserve">19 </t>
  </si>
  <si>
    <t>user13@@yahoo.com</t>
  </si>
  <si>
    <t>17-03-2024</t>
  </si>
  <si>
    <t>01/03/2024</t>
  </si>
  <si>
    <t>!!!</t>
  </si>
  <si>
    <t>M</t>
  </si>
  <si>
    <t>user14outlook</t>
  </si>
  <si>
    <t>1x</t>
  </si>
  <si>
    <t>22-02-2024</t>
  </si>
  <si>
    <t>2024/01/18</t>
  </si>
  <si>
    <t>Marc  Anthony</t>
  </si>
  <si>
    <t>F</t>
  </si>
  <si>
    <t>user15yahoo.com</t>
  </si>
  <si>
    <t>twice month</t>
  </si>
  <si>
    <t>2024/01/14</t>
  </si>
  <si>
    <t>10-04-2024</t>
  </si>
  <si>
    <t>user16outlook</t>
  </si>
  <si>
    <t>08-06-2024</t>
  </si>
  <si>
    <t>2024/04/09</t>
  </si>
  <si>
    <t>good</t>
  </si>
  <si>
    <t>Liza</t>
  </si>
  <si>
    <t>user17outlook .com</t>
  </si>
  <si>
    <t>02-01-2024</t>
  </si>
  <si>
    <t>John  Doe</t>
  </si>
  <si>
    <t>Cag. de Oro</t>
  </si>
  <si>
    <t>user18@@yahoo</t>
  </si>
  <si>
    <t>07-03-2024</t>
  </si>
  <si>
    <t>02/20/2024</t>
  </si>
  <si>
    <t>user19gmail .com</t>
  </si>
  <si>
    <t>03/09/2024</t>
  </si>
  <si>
    <t>17-05-2024</t>
  </si>
  <si>
    <t>N/A</t>
  </si>
  <si>
    <t>user20 outlook.com</t>
  </si>
  <si>
    <t>one time</t>
  </si>
  <si>
    <t>24-04-2024</t>
  </si>
  <si>
    <t>04-06-2024</t>
  </si>
  <si>
    <t>user21@@yahoo .com</t>
  </si>
  <si>
    <t>12-01-2024</t>
  </si>
  <si>
    <t>12-03-2024</t>
  </si>
  <si>
    <t>Mark Anthony</t>
  </si>
  <si>
    <t>user22yahoo</t>
  </si>
  <si>
    <t>02/08/2024</t>
  </si>
  <si>
    <t>06-02-2024</t>
  </si>
  <si>
    <t>user23yahoo</t>
  </si>
  <si>
    <t xml:space="preserve">4 </t>
  </si>
  <si>
    <t>Week ly</t>
  </si>
  <si>
    <t>18-06-2024</t>
  </si>
  <si>
    <t>user24gmail .com</t>
  </si>
  <si>
    <t>08-04-2024</t>
  </si>
  <si>
    <t>user25yahoo</t>
  </si>
  <si>
    <t>03/23/2024</t>
  </si>
  <si>
    <t>03-01-2024</t>
  </si>
  <si>
    <t>user26@@gmail</t>
  </si>
  <si>
    <t>08-05-2024</t>
  </si>
  <si>
    <t>2024/06/03</t>
  </si>
  <si>
    <t>user27 outlook .com</t>
  </si>
  <si>
    <t>2024/02/23</t>
  </si>
  <si>
    <t>2024/06/13</t>
  </si>
  <si>
    <t>Anna Marie</t>
  </si>
  <si>
    <t>Cebu</t>
  </si>
  <si>
    <t>user28outlook</t>
  </si>
  <si>
    <t>04/16/2024</t>
  </si>
  <si>
    <t>10-06-2024</t>
  </si>
  <si>
    <t>user29gmail.com</t>
  </si>
  <si>
    <t>03/15/2024</t>
  </si>
  <si>
    <t>2024/01/04</t>
  </si>
  <si>
    <t>Jhon Doe</t>
  </si>
  <si>
    <t>user30 yahoo</t>
  </si>
  <si>
    <t>2024/01/21</t>
  </si>
  <si>
    <t>04/21/2024</t>
  </si>
  <si>
    <t>Davao</t>
  </si>
  <si>
    <t>user31 gmail.com</t>
  </si>
  <si>
    <t>02/01/2024</t>
  </si>
  <si>
    <t>03/25/2024</t>
  </si>
  <si>
    <t>user32 outlook.com</t>
  </si>
  <si>
    <t>2024/05/15</t>
  </si>
  <si>
    <t>2024/04/19</t>
  </si>
  <si>
    <t>user33@@gmail.com</t>
  </si>
  <si>
    <t>2024/01/17</t>
  </si>
  <si>
    <t>26-04-2024</t>
  </si>
  <si>
    <t>user34@@outlook.com</t>
  </si>
  <si>
    <t>01/08/2024</t>
  </si>
  <si>
    <t>2024/04/23</t>
  </si>
  <si>
    <t>user35yahoo</t>
  </si>
  <si>
    <t>28-05-2024</t>
  </si>
  <si>
    <t>18-04-2024</t>
  </si>
  <si>
    <t>user36outlook.com</t>
  </si>
  <si>
    <t>02-04-2024</t>
  </si>
  <si>
    <t>01/20/2024</t>
  </si>
  <si>
    <t>user37@@gmail .com</t>
  </si>
  <si>
    <t>05/26/2024</t>
  </si>
  <si>
    <t>03/04/2024</t>
  </si>
  <si>
    <t>user38yahoo.com</t>
  </si>
  <si>
    <t>2024/02/12</t>
  </si>
  <si>
    <t>2024/04/18</t>
  </si>
  <si>
    <t>user39yahoo .com</t>
  </si>
  <si>
    <t>02-02-2024</t>
  </si>
  <si>
    <t>2024/04/10</t>
  </si>
  <si>
    <t>user40 gmail .com</t>
  </si>
  <si>
    <t>01/02/2024</t>
  </si>
  <si>
    <t>user41gmail .com</t>
  </si>
  <si>
    <t>2024/01/20</t>
  </si>
  <si>
    <t>05/17/2024</t>
  </si>
  <si>
    <t>user42 gmail</t>
  </si>
  <si>
    <t>02/14/2024</t>
  </si>
  <si>
    <t>2024/04/27</t>
  </si>
  <si>
    <t>user43 gmail</t>
  </si>
  <si>
    <t>18-01-2024</t>
  </si>
  <si>
    <t>04/10/2024</t>
  </si>
  <si>
    <t>user44@@yahoo .com</t>
  </si>
  <si>
    <t>06/13/2024</t>
  </si>
  <si>
    <t>08-03-2024</t>
  </si>
  <si>
    <t>user45@@gmail .com</t>
  </si>
  <si>
    <t>2024/02/05</t>
  </si>
  <si>
    <t>2024/06/02</t>
  </si>
  <si>
    <t>user46 outlook.com</t>
  </si>
  <si>
    <t>2024/05/17</t>
  </si>
  <si>
    <t>2024/03/16</t>
  </si>
  <si>
    <t>user47@@gmail</t>
  </si>
  <si>
    <t>04-01-2024</t>
  </si>
  <si>
    <t>user48 yahoo .com</t>
  </si>
  <si>
    <t>every weeek</t>
  </si>
  <si>
    <t>05-02-2024</t>
  </si>
  <si>
    <t>user49@@yahoo</t>
  </si>
  <si>
    <t>17-01-2024</t>
  </si>
  <si>
    <t>2024/03/02</t>
  </si>
  <si>
    <t>user50outlook</t>
  </si>
  <si>
    <t>2024/04/01</t>
  </si>
  <si>
    <t>06/06/2024</t>
  </si>
  <si>
    <t>user51@@yahoo .com</t>
  </si>
  <si>
    <t>04/19/2024</t>
  </si>
  <si>
    <t>2024/04/02</t>
  </si>
  <si>
    <t>user52@@yahoo .com</t>
  </si>
  <si>
    <t>15-02-2024</t>
  </si>
  <si>
    <t>05-04-2024</t>
  </si>
  <si>
    <t>user53 gmail</t>
  </si>
  <si>
    <t>01-05-2024</t>
  </si>
  <si>
    <t>24-02-2024</t>
  </si>
  <si>
    <t>user54@@yahoo.com</t>
  </si>
  <si>
    <t>07-06-2024</t>
  </si>
  <si>
    <t>08-01-2024</t>
  </si>
  <si>
    <t>user55outlook.com</t>
  </si>
  <si>
    <t>01/27/2024</t>
  </si>
  <si>
    <t>19-04-2024</t>
  </si>
  <si>
    <t>user56outlook.com</t>
  </si>
  <si>
    <t>2024/01/11</t>
  </si>
  <si>
    <t>user57@@outlook.com</t>
  </si>
  <si>
    <t>12-06-2024</t>
  </si>
  <si>
    <t>2024/01/06</t>
  </si>
  <si>
    <t>user58 outlook.com</t>
  </si>
  <si>
    <t>2024/04/04</t>
  </si>
  <si>
    <t>02/26/2024</t>
  </si>
  <si>
    <t>user59yahoo .com</t>
  </si>
  <si>
    <t>03/14/2024</t>
  </si>
  <si>
    <t>user60 yahoo .com</t>
  </si>
  <si>
    <t>2024/06/01</t>
  </si>
  <si>
    <t>03/07/2024</t>
  </si>
  <si>
    <t>user61@@yahoo.com</t>
  </si>
  <si>
    <t>04/28/2024</t>
  </si>
  <si>
    <t>user62@@outlook .com</t>
  </si>
  <si>
    <t>15-05-2024</t>
  </si>
  <si>
    <t>2024/04/20</t>
  </si>
  <si>
    <t>user63gmail</t>
  </si>
  <si>
    <t>03/26/2024</t>
  </si>
  <si>
    <t>07-01-2024</t>
  </si>
  <si>
    <t>user64@@outlook.com</t>
  </si>
  <si>
    <t>02/12/2024</t>
  </si>
  <si>
    <t>user65gmail</t>
  </si>
  <si>
    <t>03-03-2024</t>
  </si>
  <si>
    <t>2024/02/08</t>
  </si>
  <si>
    <t>user66 gmail.com</t>
  </si>
  <si>
    <t>21-03-2024</t>
  </si>
  <si>
    <t>17-02-2024</t>
  </si>
  <si>
    <t>user67@@yahoo .com</t>
  </si>
  <si>
    <t>05/06/2024</t>
  </si>
  <si>
    <t>01-04-2024</t>
  </si>
  <si>
    <t>user68yahoo .com</t>
  </si>
  <si>
    <t>25-03-2024</t>
  </si>
  <si>
    <t>user69 gmail</t>
  </si>
  <si>
    <t>04/01/2024</t>
  </si>
  <si>
    <t>2024/01/10</t>
  </si>
  <si>
    <t>user70 yahoo.com</t>
  </si>
  <si>
    <t>2024/05/02</t>
  </si>
  <si>
    <t>2024/02/03</t>
  </si>
  <si>
    <t>user71yahoo .com</t>
  </si>
  <si>
    <t>05-05-2024</t>
  </si>
  <si>
    <t>02/18/2024</t>
  </si>
  <si>
    <t>user72@@gmail.com</t>
  </si>
  <si>
    <t>2024/02/10</t>
  </si>
  <si>
    <t>2024/01/03</t>
  </si>
  <si>
    <t>user73outlook</t>
  </si>
  <si>
    <t>01/19/2024</t>
  </si>
  <si>
    <t>user74 yahoo</t>
  </si>
  <si>
    <t>06/28/2024</t>
  </si>
  <si>
    <t>user75 outlook.com</t>
  </si>
  <si>
    <t>05/04/2024</t>
  </si>
  <si>
    <t>2024/05/06</t>
  </si>
  <si>
    <t>user76 outlook.com</t>
  </si>
  <si>
    <t>13-01-2024</t>
  </si>
  <si>
    <t>04/07/2024</t>
  </si>
  <si>
    <t>user77@@outlook.com</t>
  </si>
  <si>
    <t>2024/03/23</t>
  </si>
  <si>
    <t>user78 outlook .com</t>
  </si>
  <si>
    <t>22-03-2024</t>
  </si>
  <si>
    <t>2024/06/22</t>
  </si>
  <si>
    <t>user79gmail .com</t>
  </si>
  <si>
    <t>2024/03/13</t>
  </si>
  <si>
    <t>06/27/2024</t>
  </si>
  <si>
    <t>user80@@yahoo.com</t>
  </si>
  <si>
    <t>2024/03/18</t>
  </si>
  <si>
    <t>user81@@gmail.com</t>
  </si>
  <si>
    <t>06-03-2024</t>
  </si>
  <si>
    <t>01/28/2024</t>
  </si>
  <si>
    <t>user82 outlook.com</t>
  </si>
  <si>
    <t>2024/01/28</t>
  </si>
  <si>
    <t>09-05-2024</t>
  </si>
  <si>
    <t>user83 gmail.com</t>
  </si>
  <si>
    <t>2024/06/23</t>
  </si>
  <si>
    <t>06/24/2024</t>
  </si>
  <si>
    <t>user84 gmail .com</t>
  </si>
  <si>
    <t>2024/05/03</t>
  </si>
  <si>
    <t>user85 yahoo.com</t>
  </si>
  <si>
    <t>11-03-2024</t>
  </si>
  <si>
    <t>19-02-2024</t>
  </si>
  <si>
    <t>user86@@outlook</t>
  </si>
  <si>
    <t>2024/02/06</t>
  </si>
  <si>
    <t>11-02-2024</t>
  </si>
  <si>
    <t>user87gmail.com</t>
  </si>
  <si>
    <t>02/17/2024</t>
  </si>
  <si>
    <t>05/16/2024</t>
  </si>
  <si>
    <t>user88@@gmail</t>
  </si>
  <si>
    <t>04/17/2024</t>
  </si>
  <si>
    <t>2024/02/26</t>
  </si>
  <si>
    <t>user89 gmail .com</t>
  </si>
  <si>
    <t>05/27/2024</t>
  </si>
  <si>
    <t>user90yahoo.com</t>
  </si>
  <si>
    <t>03/13/2024</t>
  </si>
  <si>
    <t>user91@@yahoo.com</t>
  </si>
  <si>
    <t>10-02-2024</t>
  </si>
  <si>
    <t>02/15/2024</t>
  </si>
  <si>
    <t>user92gmail .com</t>
  </si>
  <si>
    <t>2024/03/15</t>
  </si>
  <si>
    <t>13-04-2024</t>
  </si>
  <si>
    <t>user93@@yahoo.com</t>
  </si>
  <si>
    <t>10-03-2024</t>
  </si>
  <si>
    <t>user94 yahoo .com</t>
  </si>
  <si>
    <t>03/17/2024</t>
  </si>
  <si>
    <t>16-05-2024</t>
  </si>
  <si>
    <t>user95gmail .com</t>
  </si>
  <si>
    <t>2024/02/02</t>
  </si>
  <si>
    <t>user96@@gmail</t>
  </si>
  <si>
    <t>2024/01/05</t>
  </si>
  <si>
    <t>05/25/2024</t>
  </si>
  <si>
    <t>user97 outlook .com</t>
  </si>
  <si>
    <t>2024/06/18</t>
  </si>
  <si>
    <t>03/02/2024</t>
  </si>
  <si>
    <t>user98 yahoo .com</t>
  </si>
  <si>
    <t>21-05-2024</t>
  </si>
  <si>
    <t>user99outlook.com</t>
  </si>
  <si>
    <t>23-04-2024</t>
  </si>
  <si>
    <t>01/18/2024</t>
  </si>
  <si>
    <t>user100 gmail.com</t>
  </si>
  <si>
    <t>19-05-2024</t>
  </si>
  <si>
    <t>2024/06/04</t>
  </si>
  <si>
    <t>user101gmail .com</t>
  </si>
  <si>
    <t>03-04-2024</t>
  </si>
  <si>
    <t>user102gmail</t>
  </si>
  <si>
    <t>04/15/2024</t>
  </si>
  <si>
    <t>user103gmail .com</t>
  </si>
  <si>
    <t>02/28/2024</t>
  </si>
  <si>
    <t>user104 yahoo</t>
  </si>
  <si>
    <t>13-06-2024</t>
  </si>
  <si>
    <t>user105 outlook</t>
  </si>
  <si>
    <t>2024/02/21</t>
  </si>
  <si>
    <t>user106outlook</t>
  </si>
  <si>
    <t>04/14/2024</t>
  </si>
  <si>
    <t>04/24/2024</t>
  </si>
  <si>
    <t>user107@@gmail.com</t>
  </si>
  <si>
    <t>user108yahoo.com</t>
  </si>
  <si>
    <t>06/10/2024</t>
  </si>
  <si>
    <t>02/11/2024</t>
  </si>
  <si>
    <t>user109@@gmail.com</t>
  </si>
  <si>
    <t>14-05-2024</t>
  </si>
  <si>
    <t>user110gmail .com</t>
  </si>
  <si>
    <t>2024/05/22</t>
  </si>
  <si>
    <t>user111 outlook.com</t>
  </si>
  <si>
    <t>02/09/2024</t>
  </si>
  <si>
    <t>20-05-2024</t>
  </si>
  <si>
    <t>user112 outlook .com</t>
  </si>
  <si>
    <t>02-06-2024</t>
  </si>
  <si>
    <t>user113yahoo.com</t>
  </si>
  <si>
    <t>2024/03/28</t>
  </si>
  <si>
    <t>user114outlook .com</t>
  </si>
  <si>
    <t>05/10/2024</t>
  </si>
  <si>
    <t>01/07/2024</t>
  </si>
  <si>
    <t>user115 yahoo .com</t>
  </si>
  <si>
    <t>04/04/2024</t>
  </si>
  <si>
    <t>2024/02/15</t>
  </si>
  <si>
    <t>user116gmail</t>
  </si>
  <si>
    <t>02/27/2024</t>
  </si>
  <si>
    <t>user117@@gmail.com</t>
  </si>
  <si>
    <t>2024/03/24</t>
  </si>
  <si>
    <t>user118@@outlook</t>
  </si>
  <si>
    <t>05/02/2024</t>
  </si>
  <si>
    <t>user119 yahoo</t>
  </si>
  <si>
    <t>user120@@yahoo .com</t>
  </si>
  <si>
    <t>2024/06/14</t>
  </si>
  <si>
    <t>2024/06/11</t>
  </si>
  <si>
    <t>user121@@yahoo .com</t>
  </si>
  <si>
    <t>2024/05/23</t>
  </si>
  <si>
    <t>2024/06/15</t>
  </si>
  <si>
    <t>user122@@gmail.com</t>
  </si>
  <si>
    <t>05-01-2024</t>
  </si>
  <si>
    <t>user123yahoo .com</t>
  </si>
  <si>
    <t>2024/01/24</t>
  </si>
  <si>
    <t>2024/02/14</t>
  </si>
  <si>
    <t>user124gmail .com</t>
  </si>
  <si>
    <t>2024/03/25</t>
  </si>
  <si>
    <t>user125 outlook .com</t>
  </si>
  <si>
    <t>06/19/2024</t>
  </si>
  <si>
    <t>02/25/2024</t>
  </si>
  <si>
    <t>user126outlook.com</t>
  </si>
  <si>
    <t>09-03-2024</t>
  </si>
  <si>
    <t>user127 outlook .com</t>
  </si>
  <si>
    <t>user128 outlook.com</t>
  </si>
  <si>
    <t>18-05-2024</t>
  </si>
  <si>
    <t>user129 outlook .com</t>
  </si>
  <si>
    <t>user130yahoo .com</t>
  </si>
  <si>
    <t>01/06/2024</t>
  </si>
  <si>
    <t>user131@@gmail</t>
  </si>
  <si>
    <t>02-03-2024</t>
  </si>
  <si>
    <t>13-02-2024</t>
  </si>
  <si>
    <t>user132 yahoo</t>
  </si>
  <si>
    <t>01-02-2024</t>
  </si>
  <si>
    <t>2024/04/25</t>
  </si>
  <si>
    <t>user133 yahoo.com</t>
  </si>
  <si>
    <t>20-01-2024</t>
  </si>
  <si>
    <t>user134gmail.com</t>
  </si>
  <si>
    <t>04/13/2024</t>
  </si>
  <si>
    <t>user135outlook .com</t>
  </si>
  <si>
    <t>2024/02/17</t>
  </si>
  <si>
    <t>user136yahoo .com</t>
  </si>
  <si>
    <t>02/02/2024</t>
  </si>
  <si>
    <t>2024/03/20</t>
  </si>
  <si>
    <t>user137 outlook</t>
  </si>
  <si>
    <t>14-04-2024</t>
  </si>
  <si>
    <t>user138@@gmail</t>
  </si>
  <si>
    <t>2024/05/18</t>
  </si>
  <si>
    <t>user139 outlook</t>
  </si>
  <si>
    <t>user140yahoo .com</t>
  </si>
  <si>
    <t>user141outlook</t>
  </si>
  <si>
    <t>2024/03/11</t>
  </si>
  <si>
    <t>03/22/2024</t>
  </si>
  <si>
    <t>user142@@yahoo</t>
  </si>
  <si>
    <t>25-04-2024</t>
  </si>
  <si>
    <t>user143@@outlook</t>
  </si>
  <si>
    <t>27-03-2024</t>
  </si>
  <si>
    <t>user144@@yahoo .com</t>
  </si>
  <si>
    <t>2024/04/15</t>
  </si>
  <si>
    <t>user145 outlook.com</t>
  </si>
  <si>
    <t>2024/06/07</t>
  </si>
  <si>
    <t>06/16/2024</t>
  </si>
  <si>
    <t>user146 outlook.com</t>
  </si>
  <si>
    <t>14-02-2024</t>
  </si>
  <si>
    <t>01/14/2024</t>
  </si>
  <si>
    <t>user147 yahoo</t>
  </si>
  <si>
    <t>user148 gmail .com</t>
  </si>
  <si>
    <t>user149 yahoo .com</t>
  </si>
  <si>
    <t>user150outlook.com</t>
  </si>
  <si>
    <t>13-03-2024</t>
  </si>
  <si>
    <t>2024/04/26</t>
  </si>
  <si>
    <t>user151@@outlook</t>
  </si>
  <si>
    <t>19-03-2024</t>
  </si>
  <si>
    <t>user152 outlook</t>
  </si>
  <si>
    <t>11-05-2024</t>
  </si>
  <si>
    <t>18-02-2024</t>
  </si>
  <si>
    <t>user153@@gmail .com</t>
  </si>
  <si>
    <t>23-02-2024</t>
  </si>
  <si>
    <t>user154 outlook.com</t>
  </si>
  <si>
    <t>2024/03/12</t>
  </si>
  <si>
    <t>user155@@yahoo</t>
  </si>
  <si>
    <t>2024/02/01</t>
  </si>
  <si>
    <t>user156@@yahoo</t>
  </si>
  <si>
    <t>06/23/2024</t>
  </si>
  <si>
    <t>2024/04/07</t>
  </si>
  <si>
    <t>user157gmail.com</t>
  </si>
  <si>
    <t>user158@@yahoo</t>
  </si>
  <si>
    <t>04/23/2024</t>
  </si>
  <si>
    <t>02-05-2024</t>
  </si>
  <si>
    <t>user159@@outlook.com</t>
  </si>
  <si>
    <t>07-04-2024</t>
  </si>
  <si>
    <t>2024/01/09</t>
  </si>
  <si>
    <t>user160outlook</t>
  </si>
  <si>
    <t>14-06-2024</t>
  </si>
  <si>
    <t>user161outlook</t>
  </si>
  <si>
    <t>04-03-2024</t>
  </si>
  <si>
    <t>2024/03/17</t>
  </si>
  <si>
    <t>user162@@outlook.com</t>
  </si>
  <si>
    <t>user163 yahoo.com</t>
  </si>
  <si>
    <t>16-02-2024</t>
  </si>
  <si>
    <t>user164gmail .com</t>
  </si>
  <si>
    <t>06/02/2024</t>
  </si>
  <si>
    <t>user165@@gmail.com</t>
  </si>
  <si>
    <t>user166 gmail .com</t>
  </si>
  <si>
    <t>user167@@yahoo.com</t>
  </si>
  <si>
    <t>09-06-2024</t>
  </si>
  <si>
    <t>user168@@gmail .com</t>
  </si>
  <si>
    <t>13-05-2024</t>
  </si>
  <si>
    <t>user169yahoo.com</t>
  </si>
  <si>
    <t>2024/01/16</t>
  </si>
  <si>
    <t>03/16/2024</t>
  </si>
  <si>
    <t>user170 outlook.com</t>
  </si>
  <si>
    <t>user171 yahoo.com</t>
  </si>
  <si>
    <t>2024/02/22</t>
  </si>
  <si>
    <t>01/09/2024</t>
  </si>
  <si>
    <t>user172@@gmail</t>
  </si>
  <si>
    <t>2024/02/28</t>
  </si>
  <si>
    <t>user173 gmail.com</t>
  </si>
  <si>
    <t>user174 yahoo .com</t>
  </si>
  <si>
    <t>27-06-2024</t>
  </si>
  <si>
    <t>02/04/2024</t>
  </si>
  <si>
    <t>user175@@outlook .com</t>
  </si>
  <si>
    <t>11-06-2024</t>
  </si>
  <si>
    <t>user176@@outlook.com</t>
  </si>
  <si>
    <t>user177@@outlook .com</t>
  </si>
  <si>
    <t>user178@@yahoo.com</t>
  </si>
  <si>
    <t>06/22/2024</t>
  </si>
  <si>
    <t>user179@@yahoo.com</t>
  </si>
  <si>
    <t>06/12/2024</t>
  </si>
  <si>
    <t>user180 yahoo .com</t>
  </si>
  <si>
    <t>03/21/2024</t>
  </si>
  <si>
    <t>user181@@outlook .com</t>
  </si>
  <si>
    <t>user182 outlook .com</t>
  </si>
  <si>
    <t>2024/03/19</t>
  </si>
  <si>
    <t>user183@@yahoo.com</t>
  </si>
  <si>
    <t>user184outlook.com</t>
  </si>
  <si>
    <t>04/06/2024</t>
  </si>
  <si>
    <t>user185@@gmail .com</t>
  </si>
  <si>
    <t>28-03-2024</t>
  </si>
  <si>
    <t>2024/02/13</t>
  </si>
  <si>
    <t>user186 outlook</t>
  </si>
  <si>
    <t>2024/05/28</t>
  </si>
  <si>
    <t>2024/05/13</t>
  </si>
  <si>
    <t>user187gmail .com</t>
  </si>
  <si>
    <t>16-03-2024</t>
  </si>
  <si>
    <t>2024/01/27</t>
  </si>
  <si>
    <t>user188yahoo</t>
  </si>
  <si>
    <t>22-01-2024</t>
  </si>
  <si>
    <t>2024/04/06</t>
  </si>
  <si>
    <t>user189 gmail.com</t>
  </si>
  <si>
    <t>2024/05/20</t>
  </si>
  <si>
    <t>2024/02/07</t>
  </si>
  <si>
    <t>user190@@yahoo</t>
  </si>
  <si>
    <t>04/22/2024</t>
  </si>
  <si>
    <t>06/09/2024</t>
  </si>
  <si>
    <t>user191 gmail.com</t>
  </si>
  <si>
    <t>user192 gmail .com</t>
  </si>
  <si>
    <t>user193yahoo .com</t>
  </si>
  <si>
    <t>02/21/2024</t>
  </si>
  <si>
    <t>01/17/2024</t>
  </si>
  <si>
    <t>user194 outlook.com</t>
  </si>
  <si>
    <t>user195@@gmail.com</t>
  </si>
  <si>
    <t>2024/03/27</t>
  </si>
  <si>
    <t>04/02/2024</t>
  </si>
  <si>
    <t>user196 yahoo</t>
  </si>
  <si>
    <t>2024/01/23</t>
  </si>
  <si>
    <t>user197outlook.com</t>
  </si>
  <si>
    <t>user198@@outlook.com</t>
  </si>
  <si>
    <t>user199 outlook</t>
  </si>
  <si>
    <t>16-04-2024</t>
  </si>
  <si>
    <t>user200yahoo.com</t>
  </si>
  <si>
    <t>2024/05/26</t>
  </si>
  <si>
    <t>user201 gmail</t>
  </si>
  <si>
    <t>user202gmail.com</t>
  </si>
  <si>
    <t>2024/04/05</t>
  </si>
  <si>
    <t>user203yahoo .com</t>
  </si>
  <si>
    <t>10-01-2024</t>
  </si>
  <si>
    <t>user204 outlook.com</t>
  </si>
  <si>
    <t>02/22/2024</t>
  </si>
  <si>
    <t>user205 outlook.com</t>
  </si>
  <si>
    <t>2024/04/22</t>
  </si>
  <si>
    <t>2024/04/03</t>
  </si>
  <si>
    <t>user206outlook.com</t>
  </si>
  <si>
    <t>02/07/2024</t>
  </si>
  <si>
    <t>user207 outlook.com</t>
  </si>
  <si>
    <t>28-06-2024</t>
  </si>
  <si>
    <t>user208@@outlook .com</t>
  </si>
  <si>
    <t>user209yahoo</t>
  </si>
  <si>
    <t>14-01-2024</t>
  </si>
  <si>
    <t>user210@@outlook .com</t>
  </si>
  <si>
    <t>06/03/2024</t>
  </si>
  <si>
    <t>user211yahoo .com</t>
  </si>
  <si>
    <t>01/04/2024</t>
  </si>
  <si>
    <t>user212@@outlook.com</t>
  </si>
  <si>
    <t>user213 yahoo</t>
  </si>
  <si>
    <t>2024/01/01</t>
  </si>
  <si>
    <t>05/19/2024</t>
  </si>
  <si>
    <t>user214gmail</t>
  </si>
  <si>
    <t>01/10/2024</t>
  </si>
  <si>
    <t>user215 gmail .com</t>
  </si>
  <si>
    <t>2024/06/05</t>
  </si>
  <si>
    <t>user216outlook.com</t>
  </si>
  <si>
    <t>2024/01/07</t>
  </si>
  <si>
    <t>user217outlook.com</t>
  </si>
  <si>
    <t>2024/02/24</t>
  </si>
  <si>
    <t>2024/01/12</t>
  </si>
  <si>
    <t>user218@@gmail.com</t>
  </si>
  <si>
    <t>01-03-2024</t>
  </si>
  <si>
    <t>user219 gmail</t>
  </si>
  <si>
    <t>user220 gmail</t>
  </si>
  <si>
    <t>2024/05/25</t>
  </si>
  <si>
    <t>user221 yahoo .com</t>
  </si>
  <si>
    <t>05/15/2024</t>
  </si>
  <si>
    <t>user222@@yahoo</t>
  </si>
  <si>
    <t>2024/02/04</t>
  </si>
  <si>
    <t>user223@@outlook.com</t>
  </si>
  <si>
    <t>03/01/2024</t>
  </si>
  <si>
    <t>user224@@outlook .com</t>
  </si>
  <si>
    <t>user225@@gmail</t>
  </si>
  <si>
    <t>user226@@outlook</t>
  </si>
  <si>
    <t>user227gmail .com</t>
  </si>
  <si>
    <t>06/20/2024</t>
  </si>
  <si>
    <t>user228 gmail .com</t>
  </si>
  <si>
    <t>user229yahoo .com</t>
  </si>
  <si>
    <t>07-02-2024</t>
  </si>
  <si>
    <t>04/27/2024</t>
  </si>
  <si>
    <t>user230@@yahoo.com</t>
  </si>
  <si>
    <t>user231@@yahoo.com</t>
  </si>
  <si>
    <t>user232 yahoo</t>
  </si>
  <si>
    <t>user233 gmail</t>
  </si>
  <si>
    <t>user234 yahoo .com</t>
  </si>
  <si>
    <t>2024/01/22</t>
  </si>
  <si>
    <t>04/26/2024</t>
  </si>
  <si>
    <t>user235 gmail .com</t>
  </si>
  <si>
    <t>05-06-2024</t>
  </si>
  <si>
    <t>user236outlook</t>
  </si>
  <si>
    <t>user237gmail.com</t>
  </si>
  <si>
    <t>2024/03/08</t>
  </si>
  <si>
    <t>user238yahoo</t>
  </si>
  <si>
    <t>23-01-2024</t>
  </si>
  <si>
    <t>user239yahoo .com</t>
  </si>
  <si>
    <t>user240@@gmail.com</t>
  </si>
  <si>
    <t>06-06-2024</t>
  </si>
  <si>
    <t>user241 outlook.com</t>
  </si>
  <si>
    <t>03-05-2024</t>
  </si>
  <si>
    <t>user242 outlook</t>
  </si>
  <si>
    <t>01/25/2024</t>
  </si>
  <si>
    <t>user243@@yahoo</t>
  </si>
  <si>
    <t>04/18/2024</t>
  </si>
  <si>
    <t>user244 outlook</t>
  </si>
  <si>
    <t>22-06-2024</t>
  </si>
  <si>
    <t>05/08/2024</t>
  </si>
  <si>
    <t>user245 yahoo</t>
  </si>
  <si>
    <t>2024/03/07</t>
  </si>
  <si>
    <t>user246@@outlook .com</t>
  </si>
  <si>
    <t>user247 gmail.com</t>
  </si>
  <si>
    <t>06/04/2024</t>
  </si>
  <si>
    <t>user248@@yahoo .com</t>
  </si>
  <si>
    <t>user249yahoo .com</t>
  </si>
  <si>
    <t>Merged</t>
  </si>
  <si>
    <t>user0 @yahoo.com</t>
  </si>
  <si>
    <t>user1 @gmail.com</t>
  </si>
  <si>
    <t>Others</t>
  </si>
  <si>
    <t>user2 @yahoo.com</t>
  </si>
  <si>
    <t>user3@outlook.com</t>
  </si>
  <si>
    <t>user4 @yahoo.com</t>
  </si>
  <si>
    <t>user5@yahoo.com</t>
  </si>
  <si>
    <t>user6@outlook.com</t>
  </si>
  <si>
    <t>user7 @outlook.com</t>
  </si>
  <si>
    <t>user8@gmail.com</t>
  </si>
  <si>
    <t>user9@yahoo.com</t>
  </si>
  <si>
    <t>user10@outlook.com</t>
  </si>
  <si>
    <t>user11 @gmail.com</t>
  </si>
  <si>
    <t>user12@outlook.com</t>
  </si>
  <si>
    <t>user13@yahoo.com</t>
  </si>
  <si>
    <t>user14@outlook.com</t>
  </si>
  <si>
    <t>user15@yahoo.com</t>
  </si>
  <si>
    <t>user16@outlook.com</t>
  </si>
  <si>
    <t>user17@outlook.com</t>
  </si>
  <si>
    <t>user18@yahoo.com</t>
  </si>
  <si>
    <t>user19@gmail.com</t>
  </si>
  <si>
    <t>user20 @outlook.com</t>
  </si>
  <si>
    <t>user21@yahoo.com</t>
  </si>
  <si>
    <t>user22@yahoo.com</t>
  </si>
  <si>
    <t>user23@yahoo.com</t>
  </si>
  <si>
    <t>user24@gmail.com</t>
  </si>
  <si>
    <t>user25@yahoo.com</t>
  </si>
  <si>
    <t>user26@gmail.com</t>
  </si>
  <si>
    <t>user27 @outlook.com</t>
  </si>
  <si>
    <t>user28@outlook.com</t>
  </si>
  <si>
    <t>user29@gmail.com</t>
  </si>
  <si>
    <t>user30 @yahoo.com</t>
  </si>
  <si>
    <t>user31 @gmail.com</t>
  </si>
  <si>
    <t>user32 @outlook.com</t>
  </si>
  <si>
    <t>user33@gmail.com</t>
  </si>
  <si>
    <t>user34@outlook.com</t>
  </si>
  <si>
    <t>user35@yahoo.com</t>
  </si>
  <si>
    <t>user36@outlook.com</t>
  </si>
  <si>
    <t>user37@gmail.com</t>
  </si>
  <si>
    <t>user38@yahoo.com</t>
  </si>
  <si>
    <t>user39@yahoo.com</t>
  </si>
  <si>
    <t>user40 @gmail.com</t>
  </si>
  <si>
    <t>user41@gmail.com</t>
  </si>
  <si>
    <t>user42 @gmail.com</t>
  </si>
  <si>
    <t>user43 @gmail.com</t>
  </si>
  <si>
    <t>user44@yahoo.com</t>
  </si>
  <si>
    <t>user45@gmail.com</t>
  </si>
  <si>
    <t>user46 @outlook.com</t>
  </si>
  <si>
    <t>user47@gmail.com</t>
  </si>
  <si>
    <t>user48 @yahoo.com</t>
  </si>
  <si>
    <t>user49@yahoo.com</t>
  </si>
  <si>
    <t>user50@outlook.com</t>
  </si>
  <si>
    <t>user51@yahoo.com</t>
  </si>
  <si>
    <t>user52@yahoo.com</t>
  </si>
  <si>
    <t>user53 @gmail.com</t>
  </si>
  <si>
    <t>user54@yahoo.com</t>
  </si>
  <si>
    <t>user55@outlook.com</t>
  </si>
  <si>
    <t>user56@outlook.com</t>
  </si>
  <si>
    <t>user57@outlook.com</t>
  </si>
  <si>
    <t>user58 @outlook.com</t>
  </si>
  <si>
    <t>user59@yahoo.com</t>
  </si>
  <si>
    <t>user60 @yahoo.com</t>
  </si>
  <si>
    <t>user61@yahoo.com</t>
  </si>
  <si>
    <t>user62@outlook.com</t>
  </si>
  <si>
    <t>user63@gmail.com</t>
  </si>
  <si>
    <t>user64@outlook.com</t>
  </si>
  <si>
    <t>user65@gmail.com</t>
  </si>
  <si>
    <t>user66 @gmail.com</t>
  </si>
  <si>
    <t>user67@yahoo.com</t>
  </si>
  <si>
    <t>user68@yahoo.com</t>
  </si>
  <si>
    <t>user69 @gmail.com</t>
  </si>
  <si>
    <t>user70 @yahoo.com</t>
  </si>
  <si>
    <t>user71@yahoo.com</t>
  </si>
  <si>
    <t>user72@gmail.com</t>
  </si>
  <si>
    <t>user73@outlook.com</t>
  </si>
  <si>
    <t>user74 @yahoo.com</t>
  </si>
  <si>
    <t>user75 @outlook.com</t>
  </si>
  <si>
    <t>user76 @outlook.com</t>
  </si>
  <si>
    <t>user77@outlook.com</t>
  </si>
  <si>
    <t>user78 @outlook.com</t>
  </si>
  <si>
    <t>user79@gmail.com</t>
  </si>
  <si>
    <t>user80@yahoo.com</t>
  </si>
  <si>
    <t>user81@gmail.com</t>
  </si>
  <si>
    <t>user82 @outlook.com</t>
  </si>
  <si>
    <t>user83 @gmail.com</t>
  </si>
  <si>
    <t>user84 @gmail.com</t>
  </si>
  <si>
    <t>user85 @yahoo.com</t>
  </si>
  <si>
    <t>user86@outlook.com</t>
  </si>
  <si>
    <t>user87@gmail.com</t>
  </si>
  <si>
    <t>user88@gmail.com</t>
  </si>
  <si>
    <t>user89 @gmail.com</t>
  </si>
  <si>
    <t>user90@yahoo.com</t>
  </si>
  <si>
    <t>user91@yahoo.com</t>
  </si>
  <si>
    <t>user92@gmail.com</t>
  </si>
  <si>
    <t>user93@yahoo.com</t>
  </si>
  <si>
    <t>user94 @yahoo.com</t>
  </si>
  <si>
    <t>user95@gmail.com</t>
  </si>
  <si>
    <t>user96@gmail.com</t>
  </si>
  <si>
    <t>user97 @outlook.com</t>
  </si>
  <si>
    <t>user98 @yahoo.com</t>
  </si>
  <si>
    <t>user99@outlook.com</t>
  </si>
  <si>
    <t>user100 @gmail.com</t>
  </si>
  <si>
    <t>user101@gmail.com</t>
  </si>
  <si>
    <t>user102@gmail.com</t>
  </si>
  <si>
    <t>user103@gmail.com</t>
  </si>
  <si>
    <t>user104 @yahoo.com</t>
  </si>
  <si>
    <t>user105 @outlook.com</t>
  </si>
  <si>
    <t>user106@outlook.com</t>
  </si>
  <si>
    <t>user107@gmail.com</t>
  </si>
  <si>
    <t>user108@yahoo.com</t>
  </si>
  <si>
    <t>user109@gmail.com</t>
  </si>
  <si>
    <t>user110@gmail.com</t>
  </si>
  <si>
    <t>user111 @outlook.com</t>
  </si>
  <si>
    <t>user112 @outlook.com</t>
  </si>
  <si>
    <t>user113@yahoo.com</t>
  </si>
  <si>
    <t>user114@outlook.com</t>
  </si>
  <si>
    <t>user115 @yahoo.com</t>
  </si>
  <si>
    <t>user116@gmail.com</t>
  </si>
  <si>
    <t>user117@gmail.com</t>
  </si>
  <si>
    <t>user118@outlook.com</t>
  </si>
  <si>
    <t>user119 @yahoo.com</t>
  </si>
  <si>
    <t>user120@yahoo.com</t>
  </si>
  <si>
    <t>user121@yahoo.com</t>
  </si>
  <si>
    <t>user122@gmail.com</t>
  </si>
  <si>
    <t>user123@yahoo.com</t>
  </si>
  <si>
    <t>user124@gmail.com</t>
  </si>
  <si>
    <t>user125 @outlook.com</t>
  </si>
  <si>
    <t>user126@outlook.com</t>
  </si>
  <si>
    <t>user127 @outlook.com</t>
  </si>
  <si>
    <t>user128 @outlook.com</t>
  </si>
  <si>
    <t>user129 @outlook.com</t>
  </si>
  <si>
    <t>user130@yahoo.com</t>
  </si>
  <si>
    <t>user131@gmail.com</t>
  </si>
  <si>
    <t>user132 @yahoo.com</t>
  </si>
  <si>
    <t>user133 @yahoo.com</t>
  </si>
  <si>
    <t>user134@gmail.com</t>
  </si>
  <si>
    <t>user135@outlook.com</t>
  </si>
  <si>
    <t>user136@yahoo.com</t>
  </si>
  <si>
    <t>user137 @outlook.com</t>
  </si>
  <si>
    <t>user138@gmail.com</t>
  </si>
  <si>
    <t>user139 @outlook.com</t>
  </si>
  <si>
    <t>user140@yahoo.com</t>
  </si>
  <si>
    <t>user141@outlook.com</t>
  </si>
  <si>
    <t>user142@yahoo.com</t>
  </si>
  <si>
    <t>user143@outlook.com</t>
  </si>
  <si>
    <t>user144@yahoo.com</t>
  </si>
  <si>
    <t>user145 @outlook.com</t>
  </si>
  <si>
    <t>user146 @outlook.com</t>
  </si>
  <si>
    <t>user147 @yahoo.com</t>
  </si>
  <si>
    <t>user148 @gmail.com</t>
  </si>
  <si>
    <t>user149 @yahoo.com</t>
  </si>
  <si>
    <t>user150@outlook.com</t>
  </si>
  <si>
    <t>user151@outlook.com</t>
  </si>
  <si>
    <t>user152 @outlook.com</t>
  </si>
  <si>
    <t>user153@gmail.com</t>
  </si>
  <si>
    <t>user154 @outlook.com</t>
  </si>
  <si>
    <t>user155@yahoo.com</t>
  </si>
  <si>
    <t>user156@yahoo.com</t>
  </si>
  <si>
    <t>user157@gmail.com</t>
  </si>
  <si>
    <t>user158@yahoo.com</t>
  </si>
  <si>
    <t>user159@outlook.com</t>
  </si>
  <si>
    <t>user160@outlook.com</t>
  </si>
  <si>
    <t>user161@outlook.com</t>
  </si>
  <si>
    <t>user162@outlook.com</t>
  </si>
  <si>
    <t>user163 @yahoo.com</t>
  </si>
  <si>
    <t>user164@gmail.com</t>
  </si>
  <si>
    <t>user165@gmail.com</t>
  </si>
  <si>
    <t>user166 @gmail.com</t>
  </si>
  <si>
    <t>user167@yahoo.com</t>
  </si>
  <si>
    <t>user168@gmail.com</t>
  </si>
  <si>
    <t>user169@yahoo.com</t>
  </si>
  <si>
    <t>user170 @outlook.com</t>
  </si>
  <si>
    <t>user171 @yahoo.com</t>
  </si>
  <si>
    <t>user172@gmail.com</t>
  </si>
  <si>
    <t>user173 @gmail.com</t>
  </si>
  <si>
    <t>user174 @yahoo.com</t>
  </si>
  <si>
    <t>user175@outlook.com</t>
  </si>
  <si>
    <t>user176@outlook.com</t>
  </si>
  <si>
    <t>user177@outlook.com</t>
  </si>
  <si>
    <t>user178@yahoo.com</t>
  </si>
  <si>
    <t>user179@yahoo.com</t>
  </si>
  <si>
    <t>user180 @yahoo.com</t>
  </si>
  <si>
    <t>user181@outlook.com</t>
  </si>
  <si>
    <t>user182 @outlook.com</t>
  </si>
  <si>
    <t>user183@yahoo.com</t>
  </si>
  <si>
    <t>user184@outlook.com</t>
  </si>
  <si>
    <t>user185@gmail.com</t>
  </si>
  <si>
    <t>user186 @outlook.com</t>
  </si>
  <si>
    <t>user187@gmail.com</t>
  </si>
  <si>
    <t>user188@yahoo.com</t>
  </si>
  <si>
    <t>user189 @gmail.com</t>
  </si>
  <si>
    <t>user190@yahoo.com</t>
  </si>
  <si>
    <t>user191 @gmail.com</t>
  </si>
  <si>
    <t>user192 @gmail.com</t>
  </si>
  <si>
    <t>user193@yahoo.com</t>
  </si>
  <si>
    <t>user194 @outlook.com</t>
  </si>
  <si>
    <t>user195@gmail.com</t>
  </si>
  <si>
    <t>user196 @yahoo.com</t>
  </si>
  <si>
    <t>user197@outlook.com</t>
  </si>
  <si>
    <t>user198@outlook.com</t>
  </si>
  <si>
    <t>user199 @outlook.com</t>
  </si>
  <si>
    <t>user200@yahoo.com</t>
  </si>
  <si>
    <t>user201 @gmail.com</t>
  </si>
  <si>
    <t>user202@gmail.com</t>
  </si>
  <si>
    <t>user203@yahoo.com</t>
  </si>
  <si>
    <t>user204 @outlook.com</t>
  </si>
  <si>
    <t>user205 @outlook.com</t>
  </si>
  <si>
    <t>user206@outlook.com</t>
  </si>
  <si>
    <t>user207 @outlook.com</t>
  </si>
  <si>
    <t>user208@outlook.com</t>
  </si>
  <si>
    <t>user209@yahoo.com</t>
  </si>
  <si>
    <t>user210@outlook.com</t>
  </si>
  <si>
    <t>user211@yahoo.com</t>
  </si>
  <si>
    <t>user212@outlook.com</t>
  </si>
  <si>
    <t>user213 @yahoo.com</t>
  </si>
  <si>
    <t>user214@gmail.com</t>
  </si>
  <si>
    <t>user215 @gmail.com</t>
  </si>
  <si>
    <t>user216@outlook.com</t>
  </si>
  <si>
    <t>user217@outlook.com</t>
  </si>
  <si>
    <t>user218@gmail.com</t>
  </si>
  <si>
    <t>user219 @gmail.com</t>
  </si>
  <si>
    <t>user220 @gmail.com</t>
  </si>
  <si>
    <t>user221 @yahoo.com</t>
  </si>
  <si>
    <t>user222@yahoo.com</t>
  </si>
  <si>
    <t>user223@outlook.com</t>
  </si>
  <si>
    <t>user224@outlook.com</t>
  </si>
  <si>
    <t>user225@gmail.com</t>
  </si>
  <si>
    <t>user226@outlook.com</t>
  </si>
  <si>
    <t>user227@gmail.com</t>
  </si>
  <si>
    <t>user228 @gmail.com</t>
  </si>
  <si>
    <t>user229@yahoo.com</t>
  </si>
  <si>
    <t>user230@yahoo.com</t>
  </si>
  <si>
    <t>user231@yahoo.com</t>
  </si>
  <si>
    <t>user232 @yahoo.com</t>
  </si>
  <si>
    <t>user233 @gmail.com</t>
  </si>
  <si>
    <t>user234 @yahoo.com</t>
  </si>
  <si>
    <t>user235 @gmail.com</t>
  </si>
  <si>
    <t>user236@outlook.com</t>
  </si>
  <si>
    <t>user237@gmail.com</t>
  </si>
  <si>
    <t>user238@yahoo.com</t>
  </si>
  <si>
    <t>user239@yahoo.com</t>
  </si>
  <si>
    <t>user240@gmail.com</t>
  </si>
  <si>
    <t>user241 @outlook.com</t>
  </si>
  <si>
    <t>user242 @outlook.com</t>
  </si>
  <si>
    <t>user243@yahoo.com</t>
  </si>
  <si>
    <t>user244 @outlook.com</t>
  </si>
  <si>
    <t>user245 @yahoo.com</t>
  </si>
  <si>
    <t>user246@outlook.com</t>
  </si>
  <si>
    <t>user247 @gmail.com</t>
  </si>
  <si>
    <t>user248@yahoo.com</t>
  </si>
  <si>
    <t>user249@yahoo.com</t>
  </si>
  <si>
    <t>One-Time</t>
  </si>
  <si>
    <t>Satisfied</t>
  </si>
  <si>
    <t>Ok</t>
  </si>
  <si>
    <t>Bad</t>
  </si>
  <si>
    <t>very Good</t>
  </si>
  <si>
    <t>Good</t>
  </si>
  <si>
    <t>Deactivated</t>
  </si>
  <si>
    <t>Column1</t>
  </si>
  <si>
    <t>Membership_Length_Days</t>
  </si>
  <si>
    <t>Is_Active</t>
  </si>
  <si>
    <t>Age_Group</t>
  </si>
  <si>
    <t>20</t>
  </si>
  <si>
    <t>18–25</t>
  </si>
  <si>
    <t>82</t>
  </si>
  <si>
    <t>19</t>
  </si>
  <si>
    <t>29</t>
  </si>
  <si>
    <t>79</t>
  </si>
  <si>
    <t>129</t>
  </si>
  <si>
    <t>35</t>
  </si>
  <si>
    <t>87</t>
  </si>
  <si>
    <t>88</t>
  </si>
  <si>
    <t>109</t>
  </si>
  <si>
    <t>41</t>
  </si>
  <si>
    <t>60</t>
  </si>
  <si>
    <t>178</t>
  </si>
  <si>
    <t>62</t>
  </si>
  <si>
    <t>63</t>
  </si>
  <si>
    <t>111</t>
  </si>
  <si>
    <t>91</t>
  </si>
  <si>
    <t>26</t>
  </si>
  <si>
    <t>100</t>
  </si>
  <si>
    <t>40</t>
  </si>
  <si>
    <t>73</t>
  </si>
  <si>
    <t>76</t>
  </si>
  <si>
    <t>118</t>
  </si>
  <si>
    <t>260</t>
  </si>
  <si>
    <t>97</t>
  </si>
  <si>
    <t>32</t>
  </si>
  <si>
    <t>17</t>
  </si>
  <si>
    <t>50</t>
  </si>
  <si>
    <t>67</t>
  </si>
  <si>
    <t>151</t>
  </si>
  <si>
    <t>83</t>
  </si>
  <si>
    <t>11</t>
  </si>
  <si>
    <t>38</t>
  </si>
  <si>
    <t>64</t>
  </si>
  <si>
    <t>25</t>
  </si>
  <si>
    <t>328</t>
  </si>
  <si>
    <t>152</t>
  </si>
  <si>
    <t>33</t>
  </si>
  <si>
    <t>65</t>
  </si>
  <si>
    <t>68</t>
  </si>
  <si>
    <t>271</t>
  </si>
  <si>
    <t>61</t>
  </si>
  <si>
    <t>77</t>
  </si>
  <si>
    <t>92</t>
  </si>
  <si>
    <t>173</t>
  </si>
  <si>
    <t>71</t>
  </si>
  <si>
    <t>27</t>
  </si>
  <si>
    <t>21</t>
  </si>
  <si>
    <t>51</t>
  </si>
  <si>
    <t>44</t>
  </si>
  <si>
    <t>102</t>
  </si>
  <si>
    <t>141</t>
  </si>
  <si>
    <t>136</t>
  </si>
  <si>
    <t>43</t>
  </si>
  <si>
    <t>85</t>
  </si>
  <si>
    <t>114</t>
  </si>
  <si>
    <t>56</t>
  </si>
  <si>
    <t>96</t>
  </si>
  <si>
    <t>49</t>
  </si>
  <si>
    <t>212</t>
  </si>
  <si>
    <t>70</t>
  </si>
  <si>
    <t>145</t>
  </si>
  <si>
    <t>115</t>
  </si>
  <si>
    <t>57</t>
  </si>
  <si>
    <t>12</t>
  </si>
  <si>
    <t>9</t>
  </si>
  <si>
    <t>121</t>
  </si>
  <si>
    <t>108</t>
  </si>
  <si>
    <t>31</t>
  </si>
  <si>
    <t>313</t>
  </si>
  <si>
    <t>48</t>
  </si>
  <si>
    <t>147</t>
  </si>
  <si>
    <t>13</t>
  </si>
  <si>
    <t>228</t>
  </si>
  <si>
    <t>133</t>
  </si>
  <si>
    <t>112</t>
  </si>
  <si>
    <t>172</t>
  </si>
  <si>
    <t>75</t>
  </si>
  <si>
    <t>99</t>
  </si>
  <si>
    <t>86</t>
  </si>
  <si>
    <t>94</t>
  </si>
  <si>
    <t>36</t>
  </si>
  <si>
    <t>16</t>
  </si>
  <si>
    <t>134</t>
  </si>
  <si>
    <t>42</t>
  </si>
  <si>
    <t>45</t>
  </si>
  <si>
    <t>52</t>
  </si>
  <si>
    <t>161</t>
  </si>
  <si>
    <t>66</t>
  </si>
  <si>
    <t>69</t>
  </si>
  <si>
    <t>39</t>
  </si>
  <si>
    <t>176</t>
  </si>
  <si>
    <t>55</t>
  </si>
  <si>
    <t>139</t>
  </si>
  <si>
    <t>142</t>
  </si>
  <si>
    <t>105</t>
  </si>
  <si>
    <t>163</t>
  </si>
  <si>
    <t>80</t>
  </si>
  <si>
    <t>95</t>
  </si>
  <si>
    <t>18</t>
  </si>
  <si>
    <t>10</t>
  </si>
  <si>
    <t>Very Good</t>
  </si>
  <si>
    <t>John Doe</t>
  </si>
  <si>
    <t>Marc Anthony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</si>
</sst>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/mm/dd;@"/>
    <numFmt numFmtId="165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82"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/mm/dd;@"/>
    </dxf>
    <dxf>
      <numFmt numFmtId="164" formatCode="yy/mm/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yyyy\-mm\-dd;@"/>
    </dxf>
    <dxf>
      <numFmt numFmtId="165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yyyy\-mm\-dd;@"/>
    </dxf>
    <dxf>
      <numFmt numFmtId="165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1CCE8A0D-99F1-4775-9138-008FAE2D80C0}" autoFormatId="16" applyNumberFormats="0" applyBorderFormats="0" applyFontFormats="0" applyPatternFormats="0" applyAlignmentFormats="0" applyWidthHeightFormats="0">
  <queryTableRefresh nextId="16">
    <queryTableFields count="15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6BAE0870-2EBA-4A7A-BCB0-26AA52462061}" autoFormatId="16" applyNumberFormats="0" applyBorderFormats="0" applyFontFormats="0" applyPatternFormats="0" applyAlignmentFormats="0" applyWidthHeightFormats="0">
  <queryTableRefresh nextId="16">
    <queryTableFields count="15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17FB9886-C63D-402B-91D4-C7D85337341D}" autoFormatId="16" applyNumberFormats="0" applyBorderFormats="0" applyFontFormats="0" applyPatternFormats="0" applyAlignmentFormats="0" applyWidthHeightFormats="0">
  <queryTableRefresh nextId="16">
    <queryTableFields count="15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D8A2B562-811C-4B4C-AE37-66AB88D8663F}" autoFormatId="16" applyNumberFormats="0" applyBorderFormats="0" applyFontFormats="0" applyPatternFormats="0" applyAlignmentFormats="0" applyWidthHeightFormats="0">
  <queryTableRefresh nextId="17">
    <queryTableFields count="16">
      <queryTableField id="1" name="Respondent_ID" tableColumnId="1"/>
      <queryTableField id="2" name="Full_Name" tableColumnId="2"/>
      <queryTableField id="16" dataBound="0" tableColumnId="16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3" name="Membership_Length_Days" tableColumnId="13"/>
      <queryTableField id="14" name="Is_Active" tableColumnId="14"/>
      <queryTableField id="15" name="Age_Group" tableColumnId="1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153C60D3-94E0-4AD0-A280-67EAF81DB730}" autoFormatId="16" applyNumberFormats="0" applyBorderFormats="0" applyFontFormats="0" applyPatternFormats="0" applyAlignmentFormats="0" applyWidthHeightFormats="0">
  <queryTableRefresh nextId="17" unboundColumnsRight="3">
    <queryTableFields count="15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  <queryTableField id="14" dataBound="0" tableColumnId="13"/>
      <queryTableField id="15" dataBound="0" tableColumnId="14"/>
      <queryTableField id="16" dataBound="0" tableColumnId="1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F79D11AA-D139-4CBE-B613-52D84392A967}" autoFormatId="16" applyNumberFormats="0" applyBorderFormats="0" applyFontFormats="0" applyPatternFormats="0" applyAlignmentFormats="0" applyWidthHeightFormats="0">
  <queryTableRefresh nextId="13">
    <queryTableFields count="12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64282E2-58A8-424E-9B4E-FCB8D2AC0F90}" autoFormatId="16" applyNumberFormats="0" applyBorderFormats="0" applyFontFormats="0" applyPatternFormats="0" applyAlignmentFormats="0" applyWidthHeightFormats="0">
  <queryTableRefresh nextId="13">
    <queryTableFields count="12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80E3D23-ABE8-47B7-85D5-13064BE051AE}" autoFormatId="16" applyNumberFormats="0" applyBorderFormats="0" applyFontFormats="0" applyPatternFormats="0" applyAlignmentFormats="0" applyWidthHeightFormats="0">
  <queryTableRefresh nextId="13">
    <queryTableFields count="12">
      <queryTableField id="1" name="Respondent_ID" tableColumnId="1"/>
      <queryTableField id="2" name="Full_Name" tableColumnId="2"/>
      <queryTableField id="3" name="Age" tableColumnId="3"/>
      <queryTableField id="4" name="Gender" tableColumnId="4"/>
      <queryTableField id="5" name="City" tableColumnId="5"/>
      <queryTableField id="6" name="Merged" tableColumnId="6"/>
      <queryTableField id="7" name="Satisfaction_Rating" tableColumnId="7"/>
      <queryTableField id="8" name="Purchase_Frequency" tableColumnId="8"/>
      <queryTableField id="9" name="Join_Date" tableColumnId="9"/>
      <queryTableField id="10" name="Last_Purchase_Date" tableColumnId="10"/>
      <queryTableField id="11" name="Account_Status" tableColumnId="11"/>
      <queryTableField id="12" name="Remark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4ABEDB-851C-4D8D-A13E-E3C02F753A02}" name="Table1_8" displayName="Table1_8" ref="A1:O146" tableType="queryTable" totalsRowShown="0">
  <autoFilter ref="A1:O146" xr:uid="{934ABEDB-851C-4D8D-A13E-E3C02F753A02}"/>
  <tableColumns count="15">
    <tableColumn id="1" xr3:uid="{FC79158B-050A-4A1B-875E-C64D9F814053}" uniqueName="1" name="Respondent_ID" queryTableFieldId="1"/>
    <tableColumn id="2" xr3:uid="{C1FC6446-7BFC-4A39-A495-81E22185D134}" uniqueName="2" name="Full_Name" queryTableFieldId="2" dataDxfId="9"/>
    <tableColumn id="3" xr3:uid="{9C5BB12B-26D0-4923-8A53-6C3407301BF1}" uniqueName="3" name="Age" queryTableFieldId="3"/>
    <tableColumn id="4" xr3:uid="{8B8C68F5-B4F5-41B4-8DF6-9824BB6C53CE}" uniqueName="4" name="Gender" queryTableFieldId="4" dataDxfId="8"/>
    <tableColumn id="5" xr3:uid="{52F3B687-2EDD-4285-B84F-DDB2D0D5D442}" uniqueName="5" name="City" queryTableFieldId="5" dataDxfId="7"/>
    <tableColumn id="6" xr3:uid="{112875D4-2873-4986-BC87-E473326918D4}" uniqueName="6" name="Merged" queryTableFieldId="6" dataDxfId="6"/>
    <tableColumn id="7" xr3:uid="{4B13C2CA-7ECA-4677-9361-5DB8C6D8E2CE}" uniqueName="7" name="Satisfaction_Rating" queryTableFieldId="7"/>
    <tableColumn id="8" xr3:uid="{B1A1B077-E103-4EF0-96C2-81C737D0FE21}" uniqueName="8" name="Purchase_Frequency" queryTableFieldId="8" dataDxfId="5"/>
    <tableColumn id="9" xr3:uid="{C1AAAA92-9F1F-4454-A221-63D07085FBFA}" uniqueName="9" name="Join_Date" queryTableFieldId="9" dataDxfId="4"/>
    <tableColumn id="10" xr3:uid="{8F877F74-C265-4B23-AEBE-F2BC80108B83}" uniqueName="10" name="Last_Purchase_Date" queryTableFieldId="10" dataDxfId="3"/>
    <tableColumn id="11" xr3:uid="{92F333B9-49C1-470E-97B9-64C7BD5F29BA}" uniqueName="11" name="Account_Status" queryTableFieldId="11" dataDxfId="2"/>
    <tableColumn id="12" xr3:uid="{F907BAE8-A15A-46B8-AB90-053CA0CCA8CF}" uniqueName="12" name="Remarks" queryTableFieldId="12" dataDxfId="1"/>
    <tableColumn id="13" xr3:uid="{96D0A30C-08E0-4375-8CB7-3FA64808D9B2}" uniqueName="13" name="Membership_Length_Days" queryTableFieldId="13"/>
    <tableColumn id="14" xr3:uid="{6ABC3EAD-3B71-4CD6-A595-1B22602934D9}" uniqueName="14" name="Is_Active" queryTableFieldId="14"/>
    <tableColumn id="15" xr3:uid="{798AFC8E-CF49-478F-AA81-8171B76A1595}" uniqueName="15" name="Age_Group" queryTableFieldId="1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89BBCA6-4C81-4148-A30F-9BA5235070EA}" name="Table1_7" displayName="Table1_7" ref="A1:O146" tableType="queryTable" totalsRowShown="0">
  <autoFilter ref="A1:O146" xr:uid="{189BBCA6-4C81-4148-A30F-9BA5235070EA}"/>
  <tableColumns count="15">
    <tableColumn id="1" xr3:uid="{C6C52ABE-02E8-4406-B04E-5B69BF7F0EA7}" uniqueName="1" name="Respondent_ID" queryTableFieldId="1"/>
    <tableColumn id="2" xr3:uid="{9DC371BA-F824-43A1-BE9C-54EB12B7E78B}" uniqueName="2" name="Full_Name" queryTableFieldId="2" dataDxfId="20"/>
    <tableColumn id="3" xr3:uid="{DBC3F1D2-A00B-499F-9B40-DB5420699E3E}" uniqueName="3" name="Age" queryTableFieldId="3"/>
    <tableColumn id="4" xr3:uid="{3E8964AF-6ABA-4227-A4D1-8FA4421418B3}" uniqueName="4" name="Gender" queryTableFieldId="4" dataDxfId="19"/>
    <tableColumn id="5" xr3:uid="{7FF28266-A15D-4E69-8B6B-FF6AC37D6F1F}" uniqueName="5" name="City" queryTableFieldId="5" dataDxfId="18"/>
    <tableColumn id="6" xr3:uid="{968C5A7C-6910-4B6C-8962-6B80088D9895}" uniqueName="6" name="Merged" queryTableFieldId="6" dataDxfId="17"/>
    <tableColumn id="7" xr3:uid="{544DBA22-8519-43C9-B19F-233A4879DDC5}" uniqueName="7" name="Satisfaction_Rating" queryTableFieldId="7"/>
    <tableColumn id="8" xr3:uid="{C208AABE-E092-4CF8-BA17-EF5FEB670CEC}" uniqueName="8" name="Purchase_Frequency" queryTableFieldId="8" dataDxfId="16"/>
    <tableColumn id="9" xr3:uid="{FFF31B82-A10C-4E49-B880-1A3254E3299E}" uniqueName="9" name="Join_Date" queryTableFieldId="9" dataDxfId="15"/>
    <tableColumn id="10" xr3:uid="{F1D3F971-02D7-43C8-8ECF-4B1AC8460CEC}" uniqueName="10" name="Last_Purchase_Date" queryTableFieldId="10" dataDxfId="14"/>
    <tableColumn id="11" xr3:uid="{8AA7013E-8E5A-434A-B9BE-1E502FB2F9D8}" uniqueName="11" name="Account_Status" queryTableFieldId="11" dataDxfId="13"/>
    <tableColumn id="12" xr3:uid="{58ABEC6C-3DD3-4829-9EF8-8EAEB9B2BFF3}" uniqueName="12" name="Remarks" queryTableFieldId="12" dataDxfId="12"/>
    <tableColumn id="13" xr3:uid="{50705E09-5BC7-4E1E-B801-C2DA54C09860}" uniqueName="13" name="Membership_Length_Days" queryTableFieldId="13"/>
    <tableColumn id="14" xr3:uid="{34090C35-1396-46E1-8866-2C52208A126B}" uniqueName="14" name="Is_Active" queryTableFieldId="14"/>
    <tableColumn id="15" xr3:uid="{011874E6-811D-41DA-A1A5-1C4828E2B9BD}" uniqueName="15" name="Age_Group" queryTableFieldId="15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2AF6F7-05F2-4BE8-AE13-F51C4B6DDD99}" name="Table1_6" displayName="Table1_6" ref="A1:O146" tableType="queryTable" totalsRowShown="0">
  <autoFilter ref="A1:O146" xr:uid="{E52AF6F7-05F2-4BE8-AE13-F51C4B6DDD99}"/>
  <sortState xmlns:xlrd2="http://schemas.microsoft.com/office/spreadsheetml/2017/richdata2" ref="A2:O146">
    <sortCondition descending="1" ref="M1:M174"/>
  </sortState>
  <tableColumns count="15">
    <tableColumn id="1" xr3:uid="{490EFCA5-BDF5-49DC-AF31-7ACE37E43D6F}" uniqueName="1" name="Respondent_ID" queryTableFieldId="1"/>
    <tableColumn id="2" xr3:uid="{E804499D-E602-42F1-B64B-2C9EF57F2A87}" uniqueName="2" name="Full_Name" queryTableFieldId="2" dataDxfId="81"/>
    <tableColumn id="3" xr3:uid="{BB762EDF-8FF8-4A20-ABA4-DCC079507D9E}" uniqueName="3" name="Age" queryTableFieldId="3"/>
    <tableColumn id="4" xr3:uid="{BAF81147-4204-40BB-A54D-A28CDF9B7C3C}" uniqueName="4" name="Gender" queryTableFieldId="4" dataDxfId="80"/>
    <tableColumn id="5" xr3:uid="{948D95E8-8FD5-4B95-A28D-3828DD9B3940}" uniqueName="5" name="City" queryTableFieldId="5" dataDxfId="79"/>
    <tableColumn id="6" xr3:uid="{3CAF8DFF-2D5C-45AB-BAA3-C0CA2D54152D}" uniqueName="6" name="Merged" queryTableFieldId="6" dataDxfId="78"/>
    <tableColumn id="7" xr3:uid="{00DFB06D-A441-44CF-8C81-298773A668C3}" uniqueName="7" name="Satisfaction_Rating" queryTableFieldId="7"/>
    <tableColumn id="8" xr3:uid="{88A45F2B-0981-4AEC-B530-BFFE8BE8E444}" uniqueName="8" name="Purchase_Frequency" queryTableFieldId="8" dataDxfId="77"/>
    <tableColumn id="9" xr3:uid="{828EFF34-2B0B-4FB2-A543-7CF0B9C9A186}" uniqueName="9" name="Join_Date" queryTableFieldId="9" dataDxfId="76"/>
    <tableColumn id="10" xr3:uid="{9B3A7787-2A94-40C1-BDE1-10C5DE8CF99F}" uniqueName="10" name="Last_Purchase_Date" queryTableFieldId="10" dataDxfId="75"/>
    <tableColumn id="11" xr3:uid="{1DDC6DB2-58E7-42D6-9105-7EC92439EBB2}" uniqueName="11" name="Account_Status" queryTableFieldId="11" dataDxfId="74"/>
    <tableColumn id="12" xr3:uid="{7F13ABFF-E5D1-4AE7-A821-FD5B2DCE98BE}" uniqueName="12" name="Remarks" queryTableFieldId="12" dataDxfId="73"/>
    <tableColumn id="13" xr3:uid="{B21EF6D3-78A6-470A-B1A8-1DDCE8BDDD98}" uniqueName="13" name="Membership_Length_Days" queryTableFieldId="13"/>
    <tableColumn id="14" xr3:uid="{CD23EE93-1643-4C2A-A119-B9B56E4C1432}" uniqueName="14" name="Is_Active" queryTableFieldId="14"/>
    <tableColumn id="15" xr3:uid="{AD837293-4466-457A-BD59-29317B0459F3}" uniqueName="15" name="Age_Group" queryTableFieldId="15" dataDxfId="7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B2515BB-5AD9-4360-87FB-196B06A92E62}" name="Table1_5" displayName="Table1_5" ref="A1:P174" tableType="queryTable" totalsRowShown="0">
  <autoFilter ref="A1:P174" xr:uid="{4B2515BB-5AD9-4360-87FB-196B06A92E62}"/>
  <tableColumns count="16">
    <tableColumn id="1" xr3:uid="{8FC93347-5AD5-42A1-B1A8-5F495F84D97C}" uniqueName="1" name="Respondent_ID" queryTableFieldId="1"/>
    <tableColumn id="2" xr3:uid="{E28E8629-BB8A-4BE3-AB7F-4BD29046B0A2}" uniqueName="2" name="Full_Name" queryTableFieldId="2" dataDxfId="71"/>
    <tableColumn id="16" xr3:uid="{9763FD75-2394-430F-8D7C-86D0991A9823}" uniqueName="16" name="Column1" queryTableFieldId="16" dataDxfId="70">
      <calculatedColumnFormula>IF(OR(D2=0, D2&lt;0, D2&gt;80, ISBLANK(D2)), D2)</calculatedColumnFormula>
    </tableColumn>
    <tableColumn id="3" xr3:uid="{B2AF5F56-A163-4960-879B-45ABFC9195BD}" uniqueName="3" name="Age" queryTableFieldId="3"/>
    <tableColumn id="4" xr3:uid="{560E623F-7E4F-4FB9-A279-3500474DF8F7}" uniqueName="4" name="Gender" queryTableFieldId="4" dataDxfId="69"/>
    <tableColumn id="5" xr3:uid="{7E7CBD1D-6618-4372-A8CA-3A73C4A33F50}" uniqueName="5" name="City" queryTableFieldId="5" dataDxfId="68"/>
    <tableColumn id="6" xr3:uid="{C3C6CB10-FA46-4561-A4B4-14364CF57A49}" uniqueName="6" name="Merged" queryTableFieldId="6" dataDxfId="67"/>
    <tableColumn id="7" xr3:uid="{DBCD16B9-A24E-4032-BC84-76146974372E}" uniqueName="7" name="Satisfaction_Rating" queryTableFieldId="7"/>
    <tableColumn id="8" xr3:uid="{04FD5377-C777-4A93-A728-CDF594E7843C}" uniqueName="8" name="Purchase_Frequency" queryTableFieldId="8" dataDxfId="66"/>
    <tableColumn id="9" xr3:uid="{1AFA7C66-B88A-478E-BE04-912B21648144}" uniqueName="9" name="Join_Date" queryTableFieldId="9" dataDxfId="65"/>
    <tableColumn id="10" xr3:uid="{B3D42DAC-C918-40A6-8B78-513C95B730CD}" uniqueName="10" name="Last_Purchase_Date" queryTableFieldId="10" dataDxfId="64"/>
    <tableColumn id="11" xr3:uid="{05DA5CCE-868A-4519-B6F0-7426EC587CEC}" uniqueName="11" name="Account_Status" queryTableFieldId="11" dataDxfId="63"/>
    <tableColumn id="12" xr3:uid="{5C7B4903-502F-4317-8955-9E5DCEF00264}" uniqueName="12" name="Remarks" queryTableFieldId="12" dataDxfId="62"/>
    <tableColumn id="13" xr3:uid="{064723DE-A2D8-4E87-9467-C74CC6F6FB06}" uniqueName="13" name="Membership_Length_Days" queryTableFieldId="13" dataDxfId="61"/>
    <tableColumn id="14" xr3:uid="{05AB13B5-0ED5-45BB-A663-BE136BA952BA}" uniqueName="14" name="Is_Active" queryTableFieldId="14"/>
    <tableColumn id="15" xr3:uid="{B32745E5-45D6-4430-BA9D-72E4CB7BA043}" uniqueName="15" name="Age_Group" queryTableFieldId="15" dataDxfId="6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BD19A94-5D52-4275-A3EA-035CB8F73B74}" name="Table1_4" displayName="Table1_4" ref="A1:O174" tableType="queryTable" totalsRowShown="0">
  <autoFilter ref="A1:O174" xr:uid="{EBD19A94-5D52-4275-A3EA-035CB8F73B74}"/>
  <tableColumns count="15">
    <tableColumn id="1" xr3:uid="{03126787-53E4-4A2F-B28D-56B89FD0348B}" uniqueName="1" name="Respondent_ID" queryTableFieldId="1"/>
    <tableColumn id="2" xr3:uid="{D6F62DFE-7E9A-465D-91B1-00E9BFD398C5}" uniqueName="2" name="Full_Name" queryTableFieldId="2"/>
    <tableColumn id="3" xr3:uid="{4789388F-A765-441C-9B4E-FE2C1ADD754A}" uniqueName="3" name="Age" queryTableFieldId="3"/>
    <tableColumn id="4" xr3:uid="{BCB27AD1-24C0-4ECA-9462-58846DF55C4C}" uniqueName="4" name="Gender" queryTableFieldId="4"/>
    <tableColumn id="5" xr3:uid="{133F4969-171A-4A79-9471-A119259FEC13}" uniqueName="5" name="City" queryTableFieldId="5"/>
    <tableColumn id="6" xr3:uid="{639E3D0A-4DF3-4AE6-B08E-FF9AE0280F09}" uniqueName="6" name="Merged" queryTableFieldId="6"/>
    <tableColumn id="7" xr3:uid="{CC32C86C-76F5-490F-9B49-B331F415C4DD}" uniqueName="7" name="Satisfaction_Rating" queryTableFieldId="7"/>
    <tableColumn id="8" xr3:uid="{C6E8CCE0-EA24-483A-8537-FDE0D31F5297}" uniqueName="8" name="Purchase_Frequency" queryTableFieldId="8"/>
    <tableColumn id="9" xr3:uid="{092EA804-5901-4674-8D1D-8C4092ACFE4F}" uniqueName="9" name="Join_Date" queryTableFieldId="9" dataDxfId="59"/>
    <tableColumn id="10" xr3:uid="{C7FE3681-FF80-417C-95E9-384B3200A8E4}" uniqueName="10" name="Last_Purchase_Date" queryTableFieldId="10" dataDxfId="58"/>
    <tableColumn id="11" xr3:uid="{A558A887-C86C-4B55-8C8C-1E467AB23D0B}" uniqueName="11" name="Account_Status" queryTableFieldId="11" dataDxfId="57"/>
    <tableColumn id="12" xr3:uid="{F3692FAD-1C0A-4F65-B3A5-DE261905C65E}" uniqueName="12" name="Remarks" queryTableFieldId="12" dataDxfId="56"/>
    <tableColumn id="13" xr3:uid="{DED3192A-60EC-4AFC-AD09-3478CD7AF63A}" uniqueName="13" name="Membership_Length_Days" queryTableFieldId="14" dataDxfId="55">
      <calculatedColumnFormula>Table1_4[[#This Row],[Last_Purchase_Date]]-Table1_4[[#This Row],[Join_Date]]</calculatedColumnFormula>
    </tableColumn>
    <tableColumn id="14" xr3:uid="{87962895-7A07-4F79-96F0-F7A06E05F5C9}" uniqueName="14" name="Is_Active" queryTableFieldId="15" dataDxfId="54">
      <calculatedColumnFormula>IF(K2="Active",1,0)</calculatedColumnFormula>
    </tableColumn>
    <tableColumn id="15" xr3:uid="{DBD4E503-087B-48C0-9EDE-ABEBE7784E62}" uniqueName="15" name="Age_Group" queryTableFieldId="16" dataDxfId="53">
      <calculatedColumnFormula array="1">_xlfn.IFS(C2&gt;50, "51+", C2&gt;35, "36–50", C2&gt;25, "26–35", TRUE, "18–25")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66A61B-B98C-42D9-9BBF-EFBABDA45D8E}" name="Table1_3" displayName="Table1_3" ref="A1:L266" tableType="queryTable" totalsRowShown="0">
  <autoFilter ref="A1:L266" xr:uid="{2A66A61B-B98C-42D9-9BBF-EFBABDA45D8E}"/>
  <tableColumns count="12">
    <tableColumn id="1" xr3:uid="{BB2683E8-BC96-4CC7-8B28-F509EA91D771}" uniqueName="1" name="Respondent_ID" queryTableFieldId="1"/>
    <tableColumn id="2" xr3:uid="{B019EC10-D55A-45FD-A676-67CB42F4ED7E}" uniqueName="2" name="Full_Name" queryTableFieldId="2" dataDxfId="52"/>
    <tableColumn id="3" xr3:uid="{20F3562B-C064-4EEC-B840-638AB0302E38}" uniqueName="3" name="Age" queryTableFieldId="3"/>
    <tableColumn id="4" xr3:uid="{BB7B8B69-3444-4B45-BE18-7D46530184DE}" uniqueName="4" name="Gender" queryTableFieldId="4" dataDxfId="51"/>
    <tableColumn id="5" xr3:uid="{F8945861-9AA8-4758-BA48-77F0311C7F7D}" uniqueName="5" name="City" queryTableFieldId="5" dataDxfId="50"/>
    <tableColumn id="6" xr3:uid="{20F03F94-945C-4471-B212-B3DD1DDCB180}" uniqueName="6" name="Merged" queryTableFieldId="6" dataDxfId="49"/>
    <tableColumn id="7" xr3:uid="{FCA03F78-14E9-4AD6-8DCB-F9BFF18EC074}" uniqueName="7" name="Satisfaction_Rating" queryTableFieldId="7"/>
    <tableColumn id="8" xr3:uid="{CD044FA8-2645-4E3A-914C-F8843F991005}" uniqueName="8" name="Purchase_Frequency" queryTableFieldId="8" dataDxfId="48"/>
    <tableColumn id="9" xr3:uid="{A3EF8810-E3B3-4439-933D-0D373C5E3474}" uniqueName="9" name="Join_Date" queryTableFieldId="9" dataDxfId="47"/>
    <tableColumn id="10" xr3:uid="{DCCA173B-F43D-4A74-A496-CB4C75D04A20}" uniqueName="10" name="Last_Purchase_Date" queryTableFieldId="10" dataDxfId="46"/>
    <tableColumn id="11" xr3:uid="{8B171D58-7A04-4D7F-A053-A0B4EF889E30}" uniqueName="11" name="Account_Status" queryTableFieldId="11" dataDxfId="45"/>
    <tableColumn id="12" xr3:uid="{5E7CFBAB-F77D-4677-B06B-5CED3E6A866E}" uniqueName="12" name="Remarks" queryTableFieldId="12" dataDxfId="4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604DA4-39E4-4AA8-849D-95348B0CEC19}" name="Table1_2" displayName="Table1_2" ref="A1:L266" tableType="queryTable" totalsRowShown="0">
  <autoFilter ref="A1:L266" xr:uid="{C8604DA4-39E4-4AA8-849D-95348B0CEC19}"/>
  <tableColumns count="12">
    <tableColumn id="1" xr3:uid="{76DFFA04-44BA-4AB7-96E0-B6DFF7A9BD03}" uniqueName="1" name="Respondent_ID" queryTableFieldId="1"/>
    <tableColumn id="2" xr3:uid="{B9A333B7-A96B-499F-AC5B-A2749D72B0B6}" uniqueName="2" name="Full_Name" queryTableFieldId="2" dataDxfId="43"/>
    <tableColumn id="3" xr3:uid="{5E336293-F691-4C61-8CE9-6E3348399300}" uniqueName="3" name="Age" queryTableFieldId="3"/>
    <tableColumn id="4" xr3:uid="{5D076493-F3ED-422B-8D85-3F79E7553B18}" uniqueName="4" name="Gender" queryTableFieldId="4" dataDxfId="42"/>
    <tableColumn id="5" xr3:uid="{3FB77B14-56CE-4934-B397-0A0B8026A1CB}" uniqueName="5" name="City" queryTableFieldId="5" dataDxfId="41"/>
    <tableColumn id="6" xr3:uid="{6BFE1B14-1260-43B3-B39B-8AB3288B60C3}" uniqueName="6" name="Merged" queryTableFieldId="6" dataDxfId="40"/>
    <tableColumn id="7" xr3:uid="{135577BC-EB2B-4733-B61E-6030A183FA13}" uniqueName="7" name="Satisfaction_Rating" queryTableFieldId="7"/>
    <tableColumn id="8" xr3:uid="{A5599F53-A13D-45DB-A461-D298198E66F1}" uniqueName="8" name="Purchase_Frequency" queryTableFieldId="8" dataDxfId="39"/>
    <tableColumn id="9" xr3:uid="{88B57B42-05AA-428F-998A-4C47C0655DA5}" uniqueName="9" name="Join_Date" queryTableFieldId="9" dataDxfId="38"/>
    <tableColumn id="10" xr3:uid="{BE11BD19-B0E5-4937-9EEA-CDE9DECBE17D}" uniqueName="10" name="Last_Purchase_Date" queryTableFieldId="10" dataDxfId="37"/>
    <tableColumn id="11" xr3:uid="{1146B391-8E20-4E97-B0CE-726C95DBE4A9}" uniqueName="11" name="Account_Status" queryTableFieldId="11" dataDxfId="36"/>
    <tableColumn id="12" xr3:uid="{F852FC50-A769-46DD-8835-C8B21AB8FBD8}" uniqueName="12" name="Remarks" queryTableFieldId="12" dataDxfId="3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2E46C3-3576-4A65-9306-0276FA3303B2}" name="Table1_1" displayName="Table1_1" ref="A1:L266" tableType="queryTable" totalsRowShown="0">
  <autoFilter ref="A1:L266" xr:uid="{D02E46C3-3576-4A65-9306-0276FA3303B2}"/>
  <tableColumns count="12">
    <tableColumn id="1" xr3:uid="{D3637514-5C79-4516-BE59-ABBC3FF91689}" uniqueName="1" name="Respondent_ID" queryTableFieldId="1"/>
    <tableColumn id="2" xr3:uid="{F14A83D3-6B8F-4B34-A5F6-D67D2C67D0D8}" uniqueName="2" name="Full_Name" queryTableFieldId="2" dataDxfId="34"/>
    <tableColumn id="3" xr3:uid="{4C6CD33A-C426-4CF5-A97C-9E864106A37B}" uniqueName="3" name="Age" queryTableFieldId="3"/>
    <tableColumn id="4" xr3:uid="{F259BEAF-28EE-4923-BDD3-EE8E3C439A13}" uniqueName="4" name="Gender" queryTableFieldId="4" dataDxfId="33"/>
    <tableColumn id="5" xr3:uid="{6A0D96EF-7D86-4DEE-B515-329DEA9563E7}" uniqueName="5" name="City" queryTableFieldId="5" dataDxfId="32"/>
    <tableColumn id="6" xr3:uid="{86F3FC57-B677-420B-8520-BC4F9D0FBD60}" uniqueName="6" name="Merged" queryTableFieldId="6" dataDxfId="31"/>
    <tableColumn id="7" xr3:uid="{3078FBF3-9C33-4D4F-AF4C-6639F0099F22}" uniqueName="7" name="Satisfaction_Rating" queryTableFieldId="7" dataDxfId="30"/>
    <tableColumn id="8" xr3:uid="{CA59DAE4-011C-49E7-B0BF-D0D5ABB9286F}" uniqueName="8" name="Purchase_Frequency" queryTableFieldId="8" dataDxfId="29"/>
    <tableColumn id="9" xr3:uid="{46E59227-621B-476C-AD3A-E67014817F19}" uniqueName="9" name="Join_Date" queryTableFieldId="9" dataDxfId="28"/>
    <tableColumn id="10" xr3:uid="{308C644D-88AF-4ADD-8655-C283982E21F2}" uniqueName="10" name="Last_Purchase_Date" queryTableFieldId="10" dataDxfId="27"/>
    <tableColumn id="11" xr3:uid="{072F6A70-A46D-42EC-B5C4-97D6C0CF8971}" uniqueName="11" name="Account_Status" queryTableFieldId="11" dataDxfId="26"/>
    <tableColumn id="12" xr3:uid="{88E43365-D67E-4014-90BA-70B1F1C90054}" uniqueName="12" name="Remarks" queryTableFieldId="12" dataDxfId="2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C5EC3-144C-4356-8F22-957EA35B4010}" name="Table1" displayName="Table1" ref="A1:L266" totalsRowShown="0" headerRowDxfId="24" headerRowBorderDxfId="23" tableBorderDxfId="22">
  <autoFilter ref="A1:L266" xr:uid="{9ECC5EC3-144C-4356-8F22-957EA35B4010}"/>
  <tableColumns count="12">
    <tableColumn id="1" xr3:uid="{7E973DDC-0FF7-4E2D-B029-51966E2819BB}" name="Respondent_ID"/>
    <tableColumn id="2" xr3:uid="{BF817E4F-C4B7-4B7D-B023-8D9D6930E609}" name="Full_Name"/>
    <tableColumn id="3" xr3:uid="{5E5AF898-CE18-480C-838B-10E0BAD04339}" name="Age"/>
    <tableColumn id="4" xr3:uid="{7BC6B36C-AACD-43EA-9A4B-16E870EF57A7}" name="Gender"/>
    <tableColumn id="5" xr3:uid="{EF08A171-B0D4-4DEF-A3A9-519A6E72EBC1}" name="City"/>
    <tableColumn id="6" xr3:uid="{98F9047D-B3F9-485C-AAFD-D63F32D19F1D}" name="Email_Address"/>
    <tableColumn id="7" xr3:uid="{3CDBCD79-1C0E-444C-8F7D-CAA51097210F}" name="Satisfaction_Rating"/>
    <tableColumn id="8" xr3:uid="{8C7EBDA6-6897-45FC-ABE1-C428FF28E47A}" name="Purchase_Frequency"/>
    <tableColumn id="9" xr3:uid="{6F2FA6FF-0FA1-49EB-AFE9-F29949DCAA1B}" name="Join_Date"/>
    <tableColumn id="10" xr3:uid="{5F9EA903-9815-4E3E-A23C-F5C860BFDB89}" name="Last_Purchase_Date"/>
    <tableColumn id="11" xr3:uid="{4886D8F0-9011-4E1C-B969-D253FB40E862}" name="Account_Status"/>
    <tableColumn id="12" xr3:uid="{568EA294-ED72-4C9F-BB3F-B8D4E41E8E9F}" name="Remark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886C4-30E8-4819-90FB-1097E7936BE1}">
  <dimension ref="A1:O146"/>
  <sheetViews>
    <sheetView tabSelected="1" workbookViewId="0"/>
  </sheetViews>
  <sheetFormatPr defaultRowHeight="14.4" x14ac:dyDescent="0.3"/>
  <cols>
    <col min="1" max="1" width="16.21875" bestFit="1" customWidth="1"/>
    <col min="2" max="2" width="12.4414062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3.6640625" bestFit="1" customWidth="1"/>
    <col min="10" max="10" width="20.33203125" bestFit="1" customWidth="1"/>
    <col min="11" max="11" width="16.5546875" bestFit="1" customWidth="1"/>
    <col min="12" max="12" width="10.44140625" bestFit="1" customWidth="1"/>
    <col min="13" max="13" width="26" bestFit="1" customWidth="1"/>
    <col min="14" max="14" width="10.777343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916</v>
      </c>
      <c r="N1" t="s">
        <v>917</v>
      </c>
      <c r="O1" t="s">
        <v>918</v>
      </c>
    </row>
    <row r="2" spans="1:15" x14ac:dyDescent="0.3">
      <c r="A2">
        <v>1394</v>
      </c>
      <c r="B2" s="6" t="s">
        <v>163</v>
      </c>
      <c r="C2">
        <v>18</v>
      </c>
      <c r="D2" s="6" t="s">
        <v>24</v>
      </c>
      <c r="E2" s="6" t="s">
        <v>84</v>
      </c>
      <c r="F2" s="6" t="s">
        <v>722</v>
      </c>
      <c r="G2">
        <v>4</v>
      </c>
      <c r="H2" s="6" t="s">
        <v>28</v>
      </c>
      <c r="I2" s="5">
        <v>45628</v>
      </c>
      <c r="J2" s="5">
        <v>45300</v>
      </c>
      <c r="K2" s="6" t="s">
        <v>40</v>
      </c>
      <c r="L2" s="6" t="s">
        <v>909</v>
      </c>
      <c r="M2">
        <v>328</v>
      </c>
      <c r="N2">
        <v>1</v>
      </c>
      <c r="O2" s="6" t="s">
        <v>920</v>
      </c>
    </row>
    <row r="3" spans="1:15" x14ac:dyDescent="0.3">
      <c r="A3">
        <v>1016</v>
      </c>
      <c r="B3" s="6" t="s">
        <v>1022</v>
      </c>
      <c r="C3">
        <v>22</v>
      </c>
      <c r="D3" s="6" t="s">
        <v>24</v>
      </c>
      <c r="E3" s="6" t="s">
        <v>84</v>
      </c>
      <c r="F3" s="6" t="s">
        <v>805</v>
      </c>
      <c r="G3">
        <v>5</v>
      </c>
      <c r="H3" s="6" t="s">
        <v>28</v>
      </c>
      <c r="I3" s="5">
        <v>45628</v>
      </c>
      <c r="J3" s="5">
        <v>45315</v>
      </c>
      <c r="K3" s="6" t="s">
        <v>40</v>
      </c>
      <c r="L3" s="6" t="s">
        <v>910</v>
      </c>
      <c r="M3">
        <v>313</v>
      </c>
      <c r="N3">
        <v>1</v>
      </c>
      <c r="O3" s="6" t="s">
        <v>920</v>
      </c>
    </row>
    <row r="4" spans="1:15" x14ac:dyDescent="0.3">
      <c r="A4">
        <v>1271</v>
      </c>
      <c r="B4" s="6" t="s">
        <v>22</v>
      </c>
      <c r="C4">
        <v>21</v>
      </c>
      <c r="D4" s="6" t="s">
        <v>55</v>
      </c>
      <c r="E4" s="6" t="s">
        <v>84</v>
      </c>
      <c r="F4" s="6" t="s">
        <v>727</v>
      </c>
      <c r="G4">
        <v>5</v>
      </c>
      <c r="H4" s="6" t="s">
        <v>28</v>
      </c>
      <c r="I4" s="5">
        <v>45295</v>
      </c>
      <c r="J4" s="5">
        <v>45566</v>
      </c>
      <c r="K4" s="6" t="s">
        <v>40</v>
      </c>
      <c r="L4" s="6" t="s">
        <v>913</v>
      </c>
      <c r="M4">
        <v>271</v>
      </c>
      <c r="N4">
        <v>1</v>
      </c>
      <c r="O4" s="6" t="s">
        <v>920</v>
      </c>
    </row>
    <row r="5" spans="1:15" x14ac:dyDescent="0.3">
      <c r="A5">
        <v>1099</v>
      </c>
      <c r="B5" s="6" t="s">
        <v>155</v>
      </c>
      <c r="C5">
        <v>21</v>
      </c>
      <c r="D5" s="6" t="s">
        <v>24</v>
      </c>
      <c r="E5" s="6" t="s">
        <v>156</v>
      </c>
      <c r="F5" s="6" t="s">
        <v>701</v>
      </c>
      <c r="G5">
        <v>1</v>
      </c>
      <c r="H5" s="6" t="s">
        <v>28</v>
      </c>
      <c r="I5" s="5">
        <v>45309</v>
      </c>
      <c r="J5" s="5">
        <v>45569</v>
      </c>
      <c r="K5" s="6" t="s">
        <v>69</v>
      </c>
      <c r="L5" s="6" t="s">
        <v>1021</v>
      </c>
      <c r="M5">
        <v>260</v>
      </c>
      <c r="N5">
        <v>0</v>
      </c>
      <c r="O5" s="6" t="s">
        <v>920</v>
      </c>
    </row>
    <row r="6" spans="1:15" x14ac:dyDescent="0.3">
      <c r="A6">
        <v>1467</v>
      </c>
      <c r="B6" s="6" t="s">
        <v>163</v>
      </c>
      <c r="C6">
        <v>21</v>
      </c>
      <c r="D6" s="6" t="s">
        <v>55</v>
      </c>
      <c r="E6" s="6" t="s">
        <v>167</v>
      </c>
      <c r="F6" s="6" t="s">
        <v>821</v>
      </c>
      <c r="G6">
        <v>5</v>
      </c>
      <c r="H6" s="6" t="s">
        <v>17</v>
      </c>
      <c r="I6" s="5">
        <v>45338</v>
      </c>
      <c r="J6" s="5">
        <v>45566</v>
      </c>
      <c r="K6" s="6" t="s">
        <v>914</v>
      </c>
      <c r="L6" s="6" t="s">
        <v>909</v>
      </c>
      <c r="M6">
        <v>228</v>
      </c>
      <c r="N6">
        <v>0</v>
      </c>
      <c r="O6" s="6" t="s">
        <v>920</v>
      </c>
    </row>
    <row r="7" spans="1:15" x14ac:dyDescent="0.3">
      <c r="A7">
        <v>1489</v>
      </c>
      <c r="B7" s="6" t="s">
        <v>1023</v>
      </c>
      <c r="C7">
        <v>23</v>
      </c>
      <c r="D7" s="6" t="s">
        <v>659</v>
      </c>
      <c r="E7" s="6" t="s">
        <v>84</v>
      </c>
      <c r="F7" s="6" t="s">
        <v>776</v>
      </c>
      <c r="G7">
        <v>5</v>
      </c>
      <c r="H7" s="6" t="s">
        <v>908</v>
      </c>
      <c r="I7" s="5">
        <v>45327</v>
      </c>
      <c r="J7" s="5">
        <v>45539</v>
      </c>
      <c r="K7" s="6" t="s">
        <v>914</v>
      </c>
      <c r="L7" s="6" t="s">
        <v>1021</v>
      </c>
      <c r="M7">
        <v>212</v>
      </c>
      <c r="N7">
        <v>0</v>
      </c>
      <c r="O7" s="6" t="s">
        <v>920</v>
      </c>
    </row>
    <row r="8" spans="1:15" x14ac:dyDescent="0.3">
      <c r="A8">
        <v>1409</v>
      </c>
      <c r="B8" s="6" t="s">
        <v>136</v>
      </c>
      <c r="C8">
        <v>20</v>
      </c>
      <c r="D8" s="6" t="s">
        <v>24</v>
      </c>
      <c r="E8" s="6" t="s">
        <v>84</v>
      </c>
      <c r="F8" s="6" t="s">
        <v>680</v>
      </c>
      <c r="G8">
        <v>3</v>
      </c>
      <c r="H8" s="6" t="s">
        <v>908</v>
      </c>
      <c r="I8" s="5">
        <v>45506</v>
      </c>
      <c r="J8" s="5">
        <v>45328</v>
      </c>
      <c r="K8" s="6" t="s">
        <v>20</v>
      </c>
      <c r="L8" s="6" t="s">
        <v>911</v>
      </c>
      <c r="M8">
        <v>178</v>
      </c>
      <c r="N8">
        <v>0</v>
      </c>
      <c r="O8" s="6" t="s">
        <v>920</v>
      </c>
    </row>
    <row r="9" spans="1:15" x14ac:dyDescent="0.3">
      <c r="A9">
        <v>1458</v>
      </c>
      <c r="B9" s="6" t="s">
        <v>22</v>
      </c>
      <c r="C9">
        <v>21</v>
      </c>
      <c r="D9" s="6" t="s">
        <v>55</v>
      </c>
      <c r="E9" s="6" t="s">
        <v>25</v>
      </c>
      <c r="F9" s="6" t="s">
        <v>865</v>
      </c>
      <c r="G9">
        <v>1</v>
      </c>
      <c r="H9" s="6" t="s">
        <v>28</v>
      </c>
      <c r="I9" s="5">
        <v>45471</v>
      </c>
      <c r="J9" s="5">
        <v>45295</v>
      </c>
      <c r="K9" s="6" t="s">
        <v>69</v>
      </c>
      <c r="L9" s="6" t="s">
        <v>910</v>
      </c>
      <c r="M9">
        <v>176</v>
      </c>
      <c r="N9">
        <v>0</v>
      </c>
      <c r="O9" s="6" t="s">
        <v>920</v>
      </c>
    </row>
    <row r="10" spans="1:15" x14ac:dyDescent="0.3">
      <c r="A10">
        <v>1070</v>
      </c>
      <c r="B10" s="6" t="s">
        <v>1023</v>
      </c>
      <c r="C10">
        <v>22</v>
      </c>
      <c r="D10" s="6" t="s">
        <v>24</v>
      </c>
      <c r="E10" s="6" t="s">
        <v>167</v>
      </c>
      <c r="F10" s="6" t="s">
        <v>734</v>
      </c>
      <c r="G10">
        <v>5</v>
      </c>
      <c r="H10" s="6" t="s">
        <v>17</v>
      </c>
      <c r="I10" s="5">
        <v>45304</v>
      </c>
      <c r="J10" s="5">
        <v>45477</v>
      </c>
      <c r="K10" s="6" t="s">
        <v>40</v>
      </c>
      <c r="L10" s="6" t="s">
        <v>911</v>
      </c>
      <c r="M10">
        <v>173</v>
      </c>
      <c r="N10">
        <v>1</v>
      </c>
      <c r="O10" s="6" t="s">
        <v>920</v>
      </c>
    </row>
    <row r="11" spans="1:15" x14ac:dyDescent="0.3">
      <c r="A11">
        <v>1486</v>
      </c>
      <c r="B11" s="6" t="s">
        <v>136</v>
      </c>
      <c r="C11">
        <v>24</v>
      </c>
      <c r="D11" s="6" t="s">
        <v>55</v>
      </c>
      <c r="E11" s="6" t="s">
        <v>25</v>
      </c>
      <c r="F11" s="6" t="s">
        <v>826</v>
      </c>
      <c r="G11">
        <v>4</v>
      </c>
      <c r="H11" s="6" t="s">
        <v>28</v>
      </c>
      <c r="I11" s="5">
        <v>45425</v>
      </c>
      <c r="J11" s="5">
        <v>45597</v>
      </c>
      <c r="K11" s="6" t="s">
        <v>40</v>
      </c>
      <c r="L11" s="6" t="s">
        <v>909</v>
      </c>
      <c r="M11">
        <v>172</v>
      </c>
      <c r="N11">
        <v>1</v>
      </c>
      <c r="O11" s="6" t="s">
        <v>920</v>
      </c>
    </row>
    <row r="12" spans="1:15" x14ac:dyDescent="0.3">
      <c r="A12">
        <v>1471</v>
      </c>
      <c r="B12" s="6" t="s">
        <v>1023</v>
      </c>
      <c r="C12">
        <v>21</v>
      </c>
      <c r="D12" s="6" t="s">
        <v>55</v>
      </c>
      <c r="E12" s="6" t="s">
        <v>84</v>
      </c>
      <c r="F12" s="6" t="s">
        <v>881</v>
      </c>
      <c r="G12">
        <v>4</v>
      </c>
      <c r="H12" s="6" t="s">
        <v>908</v>
      </c>
      <c r="I12" s="5">
        <v>45457</v>
      </c>
      <c r="J12" s="5">
        <v>45294</v>
      </c>
      <c r="K12" s="6" t="s">
        <v>40</v>
      </c>
      <c r="L12" s="6" t="s">
        <v>913</v>
      </c>
      <c r="M12">
        <v>163</v>
      </c>
      <c r="N12">
        <v>1</v>
      </c>
      <c r="O12" s="6" t="s">
        <v>920</v>
      </c>
    </row>
    <row r="13" spans="1:15" x14ac:dyDescent="0.3">
      <c r="A13">
        <v>1493</v>
      </c>
      <c r="B13" s="6" t="s">
        <v>74</v>
      </c>
      <c r="C13">
        <v>23</v>
      </c>
      <c r="D13" s="6" t="s">
        <v>659</v>
      </c>
      <c r="E13" s="6" t="s">
        <v>25</v>
      </c>
      <c r="F13" s="6" t="s">
        <v>855</v>
      </c>
      <c r="G13">
        <v>5</v>
      </c>
      <c r="H13" s="6" t="s">
        <v>908</v>
      </c>
      <c r="I13" s="5">
        <v>45537</v>
      </c>
      <c r="J13" s="5">
        <v>45376</v>
      </c>
      <c r="K13" s="6" t="s">
        <v>20</v>
      </c>
      <c r="L13" s="6" t="s">
        <v>911</v>
      </c>
      <c r="M13">
        <v>161</v>
      </c>
      <c r="N13">
        <v>0</v>
      </c>
      <c r="O13" s="6" t="s">
        <v>920</v>
      </c>
    </row>
    <row r="14" spans="1:15" x14ac:dyDescent="0.3">
      <c r="A14">
        <v>1278</v>
      </c>
      <c r="B14" s="6" t="s">
        <v>74</v>
      </c>
      <c r="C14">
        <v>19</v>
      </c>
      <c r="D14" s="6" t="s">
        <v>55</v>
      </c>
      <c r="E14" s="6" t="s">
        <v>156</v>
      </c>
      <c r="F14" s="6" t="s">
        <v>723</v>
      </c>
      <c r="G14">
        <v>5</v>
      </c>
      <c r="H14" s="6" t="s">
        <v>17</v>
      </c>
      <c r="I14" s="5">
        <v>45354</v>
      </c>
      <c r="J14" s="5">
        <v>45506</v>
      </c>
      <c r="K14" s="6" t="s">
        <v>914</v>
      </c>
      <c r="L14" s="6" t="s">
        <v>910</v>
      </c>
      <c r="M14">
        <v>152</v>
      </c>
      <c r="N14">
        <v>0</v>
      </c>
      <c r="O14" s="6" t="s">
        <v>920</v>
      </c>
    </row>
    <row r="15" spans="1:15" x14ac:dyDescent="0.3">
      <c r="A15">
        <v>1481</v>
      </c>
      <c r="B15" s="6" t="s">
        <v>1023</v>
      </c>
      <c r="C15">
        <v>23</v>
      </c>
      <c r="D15" s="6" t="s">
        <v>55</v>
      </c>
      <c r="E15" s="6" t="s">
        <v>156</v>
      </c>
      <c r="F15" s="6" t="s">
        <v>712</v>
      </c>
      <c r="G15">
        <v>4</v>
      </c>
      <c r="H15" s="6" t="s">
        <v>17</v>
      </c>
      <c r="I15" s="5">
        <v>45450</v>
      </c>
      <c r="J15" s="5">
        <v>45299</v>
      </c>
      <c r="K15" s="6" t="s">
        <v>20</v>
      </c>
      <c r="L15" s="6" t="s">
        <v>911</v>
      </c>
      <c r="M15">
        <v>151</v>
      </c>
      <c r="N15">
        <v>0</v>
      </c>
      <c r="O15" s="6" t="s">
        <v>920</v>
      </c>
    </row>
    <row r="16" spans="1:15" x14ac:dyDescent="0.3">
      <c r="A16">
        <v>1256</v>
      </c>
      <c r="B16" s="6" t="s">
        <v>155</v>
      </c>
      <c r="C16">
        <v>22</v>
      </c>
      <c r="D16" s="6" t="s">
        <v>659</v>
      </c>
      <c r="E16" s="6" t="s">
        <v>156</v>
      </c>
      <c r="F16" s="6" t="s">
        <v>817</v>
      </c>
      <c r="G16">
        <v>1</v>
      </c>
      <c r="H16" s="6" t="s">
        <v>17</v>
      </c>
      <c r="I16" s="5">
        <v>45389</v>
      </c>
      <c r="J16" s="5">
        <v>45536</v>
      </c>
      <c r="K16" s="6" t="s">
        <v>40</v>
      </c>
      <c r="L16" s="6" t="s">
        <v>910</v>
      </c>
      <c r="M16">
        <v>147</v>
      </c>
      <c r="N16">
        <v>1</v>
      </c>
      <c r="O16" s="6" t="s">
        <v>920</v>
      </c>
    </row>
    <row r="17" spans="1:15" x14ac:dyDescent="0.3">
      <c r="A17">
        <v>1003</v>
      </c>
      <c r="B17" s="6" t="s">
        <v>12</v>
      </c>
      <c r="C17">
        <v>22</v>
      </c>
      <c r="D17" s="6" t="s">
        <v>24</v>
      </c>
      <c r="E17" s="6" t="s">
        <v>25</v>
      </c>
      <c r="F17" s="6" t="s">
        <v>778</v>
      </c>
      <c r="G17">
        <v>1</v>
      </c>
      <c r="H17" s="6" t="s">
        <v>908</v>
      </c>
      <c r="I17" s="5">
        <v>45457</v>
      </c>
      <c r="J17" s="5">
        <v>45602</v>
      </c>
      <c r="K17" s="6" t="s">
        <v>40</v>
      </c>
      <c r="L17" s="6" t="s">
        <v>911</v>
      </c>
      <c r="M17">
        <v>145</v>
      </c>
      <c r="N17">
        <v>1</v>
      </c>
      <c r="O17" s="6" t="s">
        <v>920</v>
      </c>
    </row>
    <row r="18" spans="1:15" x14ac:dyDescent="0.3">
      <c r="A18">
        <v>1169</v>
      </c>
      <c r="B18" s="6" t="s">
        <v>136</v>
      </c>
      <c r="C18">
        <v>22</v>
      </c>
      <c r="D18" s="6" t="s">
        <v>24</v>
      </c>
      <c r="E18" s="6" t="s">
        <v>167</v>
      </c>
      <c r="F18" s="6" t="s">
        <v>878</v>
      </c>
      <c r="G18">
        <v>5</v>
      </c>
      <c r="H18" s="6" t="s">
        <v>28</v>
      </c>
      <c r="I18" s="5">
        <v>45437</v>
      </c>
      <c r="J18" s="5">
        <v>45295</v>
      </c>
      <c r="K18" s="6" t="s">
        <v>40</v>
      </c>
      <c r="L18" s="6" t="s">
        <v>911</v>
      </c>
      <c r="M18">
        <v>142</v>
      </c>
      <c r="N18">
        <v>1</v>
      </c>
      <c r="O18" s="6" t="s">
        <v>920</v>
      </c>
    </row>
    <row r="19" spans="1:15" x14ac:dyDescent="0.3">
      <c r="A19">
        <v>1468</v>
      </c>
      <c r="B19" s="6" t="s">
        <v>32</v>
      </c>
      <c r="C19">
        <v>19</v>
      </c>
      <c r="D19" s="6" t="s">
        <v>55</v>
      </c>
      <c r="E19" s="6" t="s">
        <v>84</v>
      </c>
      <c r="F19" s="6" t="s">
        <v>754</v>
      </c>
      <c r="G19">
        <v>5</v>
      </c>
      <c r="H19" s="6" t="s">
        <v>908</v>
      </c>
      <c r="I19" s="5">
        <v>45296</v>
      </c>
      <c r="J19" s="5">
        <v>45437</v>
      </c>
      <c r="K19" s="6" t="s">
        <v>40</v>
      </c>
      <c r="L19" s="6" t="s">
        <v>913</v>
      </c>
      <c r="M19">
        <v>141</v>
      </c>
      <c r="N19">
        <v>1</v>
      </c>
      <c r="O19" s="6" t="s">
        <v>920</v>
      </c>
    </row>
    <row r="20" spans="1:15" x14ac:dyDescent="0.3">
      <c r="A20">
        <v>1497</v>
      </c>
      <c r="B20" s="6" t="s">
        <v>163</v>
      </c>
      <c r="C20">
        <v>24</v>
      </c>
      <c r="D20" s="6" t="s">
        <v>24</v>
      </c>
      <c r="E20" s="6" t="s">
        <v>25</v>
      </c>
      <c r="F20" s="6" t="s">
        <v>871</v>
      </c>
      <c r="G20">
        <v>2</v>
      </c>
      <c r="H20" s="6" t="s">
        <v>908</v>
      </c>
      <c r="I20" s="5">
        <v>45292</v>
      </c>
      <c r="J20" s="5">
        <v>45431</v>
      </c>
      <c r="K20" s="6" t="s">
        <v>40</v>
      </c>
      <c r="L20" s="6" t="s">
        <v>909</v>
      </c>
      <c r="M20">
        <v>139</v>
      </c>
      <c r="N20">
        <v>1</v>
      </c>
      <c r="O20" s="6" t="s">
        <v>920</v>
      </c>
    </row>
    <row r="21" spans="1:15" x14ac:dyDescent="0.3">
      <c r="A21">
        <v>1312</v>
      </c>
      <c r="B21" s="6" t="s">
        <v>12</v>
      </c>
      <c r="C21">
        <v>25</v>
      </c>
      <c r="D21" s="6" t="s">
        <v>55</v>
      </c>
      <c r="E21" s="6" t="s">
        <v>167</v>
      </c>
      <c r="F21" s="6" t="s">
        <v>755</v>
      </c>
      <c r="G21">
        <v>5</v>
      </c>
      <c r="H21" s="6" t="s">
        <v>17</v>
      </c>
      <c r="I21" s="5">
        <v>45461</v>
      </c>
      <c r="J21" s="5">
        <v>45325</v>
      </c>
      <c r="K21" s="6" t="s">
        <v>40</v>
      </c>
      <c r="L21" s="6" t="s">
        <v>909</v>
      </c>
      <c r="M21">
        <v>136</v>
      </c>
      <c r="N21">
        <v>1</v>
      </c>
      <c r="O21" s="6" t="s">
        <v>920</v>
      </c>
    </row>
    <row r="22" spans="1:15" x14ac:dyDescent="0.3">
      <c r="A22">
        <v>1375</v>
      </c>
      <c r="B22" s="6" t="s">
        <v>74</v>
      </c>
      <c r="C22">
        <v>19</v>
      </c>
      <c r="D22" s="6" t="s">
        <v>55</v>
      </c>
      <c r="E22" s="6" t="s">
        <v>156</v>
      </c>
      <c r="F22" s="6" t="s">
        <v>864</v>
      </c>
      <c r="G22">
        <v>0</v>
      </c>
      <c r="H22" s="6" t="s">
        <v>17</v>
      </c>
      <c r="I22" s="5">
        <v>45475</v>
      </c>
      <c r="J22" s="5">
        <v>45339</v>
      </c>
      <c r="K22" s="6" t="s">
        <v>40</v>
      </c>
      <c r="L22" s="6" t="s">
        <v>1021</v>
      </c>
      <c r="M22">
        <v>136</v>
      </c>
      <c r="N22">
        <v>1</v>
      </c>
      <c r="O22" s="6" t="s">
        <v>920</v>
      </c>
    </row>
    <row r="23" spans="1:15" x14ac:dyDescent="0.3">
      <c r="A23">
        <v>1496</v>
      </c>
      <c r="B23" s="6" t="s">
        <v>12</v>
      </c>
      <c r="C23">
        <v>24</v>
      </c>
      <c r="D23" s="6" t="s">
        <v>55</v>
      </c>
      <c r="E23" s="6" t="s">
        <v>25</v>
      </c>
      <c r="F23" s="6" t="s">
        <v>846</v>
      </c>
      <c r="G23">
        <v>2</v>
      </c>
      <c r="H23" s="6" t="s">
        <v>908</v>
      </c>
      <c r="I23" s="5">
        <v>45313</v>
      </c>
      <c r="J23" s="5">
        <v>45447</v>
      </c>
      <c r="K23" s="6" t="s">
        <v>40</v>
      </c>
      <c r="L23" s="6" t="s">
        <v>911</v>
      </c>
      <c r="M23">
        <v>134</v>
      </c>
      <c r="N23">
        <v>1</v>
      </c>
      <c r="O23" s="6" t="s">
        <v>920</v>
      </c>
    </row>
    <row r="24" spans="1:15" x14ac:dyDescent="0.3">
      <c r="A24">
        <v>1324</v>
      </c>
      <c r="B24" s="6" t="s">
        <v>1023</v>
      </c>
      <c r="C24">
        <v>19</v>
      </c>
      <c r="D24" s="6" t="s">
        <v>659</v>
      </c>
      <c r="E24" s="6" t="s">
        <v>25</v>
      </c>
      <c r="F24" s="6" t="s">
        <v>822</v>
      </c>
      <c r="G24">
        <v>1</v>
      </c>
      <c r="H24" s="6" t="s">
        <v>28</v>
      </c>
      <c r="I24" s="5">
        <v>45461</v>
      </c>
      <c r="J24" s="5">
        <v>45328</v>
      </c>
      <c r="K24" s="6" t="s">
        <v>40</v>
      </c>
      <c r="L24" s="6" t="s">
        <v>911</v>
      </c>
      <c r="M24">
        <v>133</v>
      </c>
      <c r="N24">
        <v>1</v>
      </c>
      <c r="O24" s="6" t="s">
        <v>920</v>
      </c>
    </row>
    <row r="25" spans="1:15" x14ac:dyDescent="0.3">
      <c r="A25">
        <v>1214</v>
      </c>
      <c r="B25" s="6" t="s">
        <v>22</v>
      </c>
      <c r="C25">
        <v>19</v>
      </c>
      <c r="D25" s="6" t="s">
        <v>55</v>
      </c>
      <c r="E25" s="6" t="s">
        <v>84</v>
      </c>
      <c r="F25" s="6" t="s">
        <v>669</v>
      </c>
      <c r="G25">
        <v>0</v>
      </c>
      <c r="H25" s="6" t="s">
        <v>908</v>
      </c>
      <c r="I25" s="5">
        <v>45310</v>
      </c>
      <c r="J25" s="5">
        <v>45439</v>
      </c>
      <c r="K25" s="6" t="s">
        <v>40</v>
      </c>
      <c r="L25" s="6" t="s">
        <v>910</v>
      </c>
      <c r="M25">
        <v>129</v>
      </c>
      <c r="N25">
        <v>1</v>
      </c>
      <c r="O25" s="6" t="s">
        <v>920</v>
      </c>
    </row>
    <row r="26" spans="1:15" x14ac:dyDescent="0.3">
      <c r="A26">
        <v>1366</v>
      </c>
      <c r="B26" s="6" t="s">
        <v>163</v>
      </c>
      <c r="C26">
        <v>20</v>
      </c>
      <c r="D26" s="6" t="s">
        <v>659</v>
      </c>
      <c r="E26" s="6" t="s">
        <v>84</v>
      </c>
      <c r="F26" s="6" t="s">
        <v>797</v>
      </c>
      <c r="G26">
        <v>0</v>
      </c>
      <c r="H26" s="6" t="s">
        <v>17</v>
      </c>
      <c r="I26" s="5">
        <v>45327</v>
      </c>
      <c r="J26" s="5">
        <v>45448</v>
      </c>
      <c r="K26" s="6" t="s">
        <v>20</v>
      </c>
      <c r="L26" s="6" t="s">
        <v>910</v>
      </c>
      <c r="M26">
        <v>121</v>
      </c>
      <c r="N26">
        <v>0</v>
      </c>
      <c r="O26" s="6" t="s">
        <v>920</v>
      </c>
    </row>
    <row r="27" spans="1:15" x14ac:dyDescent="0.3">
      <c r="A27">
        <v>1135</v>
      </c>
      <c r="B27" s="6" t="s">
        <v>32</v>
      </c>
      <c r="C27">
        <v>21</v>
      </c>
      <c r="D27" s="6" t="s">
        <v>55</v>
      </c>
      <c r="E27" s="6" t="s">
        <v>84</v>
      </c>
      <c r="F27" s="6" t="s">
        <v>699</v>
      </c>
      <c r="G27">
        <v>1</v>
      </c>
      <c r="H27" s="6" t="s">
        <v>28</v>
      </c>
      <c r="I27" s="5">
        <v>45311</v>
      </c>
      <c r="J27" s="5">
        <v>45429</v>
      </c>
      <c r="K27" s="6" t="s">
        <v>69</v>
      </c>
      <c r="L27" s="6" t="s">
        <v>1021</v>
      </c>
      <c r="M27">
        <v>118</v>
      </c>
      <c r="N27">
        <v>0</v>
      </c>
      <c r="O27" s="6" t="s">
        <v>920</v>
      </c>
    </row>
    <row r="28" spans="1:15" x14ac:dyDescent="0.3">
      <c r="A28">
        <v>1262</v>
      </c>
      <c r="B28" s="6" t="s">
        <v>74</v>
      </c>
      <c r="C28">
        <v>24</v>
      </c>
      <c r="D28" s="6" t="s">
        <v>659</v>
      </c>
      <c r="E28" s="6" t="s">
        <v>25</v>
      </c>
      <c r="F28" s="6" t="s">
        <v>783</v>
      </c>
      <c r="G28">
        <v>5</v>
      </c>
      <c r="H28" s="6" t="s">
        <v>908</v>
      </c>
      <c r="I28" s="5">
        <v>45462</v>
      </c>
      <c r="J28" s="5">
        <v>45347</v>
      </c>
      <c r="K28" s="6" t="s">
        <v>69</v>
      </c>
      <c r="L28" s="6" t="s">
        <v>909</v>
      </c>
      <c r="M28">
        <v>115</v>
      </c>
      <c r="N28">
        <v>0</v>
      </c>
      <c r="O28" s="6" t="s">
        <v>920</v>
      </c>
    </row>
    <row r="29" spans="1:15" x14ac:dyDescent="0.3">
      <c r="A29">
        <v>1014</v>
      </c>
      <c r="B29" s="6" t="s">
        <v>1023</v>
      </c>
      <c r="C29">
        <v>22</v>
      </c>
      <c r="D29" s="6" t="s">
        <v>659</v>
      </c>
      <c r="E29" s="6" t="s">
        <v>25</v>
      </c>
      <c r="F29" s="6" t="s">
        <v>786</v>
      </c>
      <c r="G29">
        <v>2</v>
      </c>
      <c r="H29" s="6" t="s">
        <v>17</v>
      </c>
      <c r="I29" s="5">
        <v>45430</v>
      </c>
      <c r="J29" s="5">
        <v>45315</v>
      </c>
      <c r="K29" s="6" t="s">
        <v>40</v>
      </c>
      <c r="L29" s="6" t="s">
        <v>913</v>
      </c>
      <c r="M29">
        <v>115</v>
      </c>
      <c r="N29">
        <v>1</v>
      </c>
      <c r="O29" s="6" t="s">
        <v>920</v>
      </c>
    </row>
    <row r="30" spans="1:15" x14ac:dyDescent="0.3">
      <c r="A30">
        <v>1475</v>
      </c>
      <c r="B30" s="6" t="s">
        <v>74</v>
      </c>
      <c r="C30">
        <v>22</v>
      </c>
      <c r="D30" s="6" t="s">
        <v>55</v>
      </c>
      <c r="E30" s="6" t="s">
        <v>25</v>
      </c>
      <c r="F30" s="6" t="s">
        <v>767</v>
      </c>
      <c r="G30">
        <v>0</v>
      </c>
      <c r="H30" s="6" t="s">
        <v>28</v>
      </c>
      <c r="I30" s="5">
        <v>45426</v>
      </c>
      <c r="J30" s="5">
        <v>45312</v>
      </c>
      <c r="K30" s="6" t="s">
        <v>20</v>
      </c>
      <c r="L30" s="6" t="s">
        <v>1021</v>
      </c>
      <c r="M30">
        <v>114</v>
      </c>
      <c r="N30">
        <v>0</v>
      </c>
      <c r="O30" s="6" t="s">
        <v>920</v>
      </c>
    </row>
    <row r="31" spans="1:15" x14ac:dyDescent="0.3">
      <c r="A31">
        <v>1319</v>
      </c>
      <c r="B31" s="6" t="s">
        <v>155</v>
      </c>
      <c r="C31">
        <v>23</v>
      </c>
      <c r="D31" s="6" t="s">
        <v>55</v>
      </c>
      <c r="E31" s="6" t="s">
        <v>156</v>
      </c>
      <c r="F31" s="6" t="s">
        <v>842</v>
      </c>
      <c r="G31">
        <v>5</v>
      </c>
      <c r="H31" s="6" t="s">
        <v>17</v>
      </c>
      <c r="I31" s="5">
        <v>45333</v>
      </c>
      <c r="J31" s="5">
        <v>45447</v>
      </c>
      <c r="K31" s="6" t="s">
        <v>69</v>
      </c>
      <c r="L31" s="6" t="s">
        <v>910</v>
      </c>
      <c r="M31">
        <v>114</v>
      </c>
      <c r="N31">
        <v>0</v>
      </c>
      <c r="O31" s="6" t="s">
        <v>920</v>
      </c>
    </row>
    <row r="32" spans="1:15" x14ac:dyDescent="0.3">
      <c r="A32">
        <v>1391</v>
      </c>
      <c r="B32" s="6" t="s">
        <v>12</v>
      </c>
      <c r="C32">
        <v>23</v>
      </c>
      <c r="D32" s="6" t="s">
        <v>24</v>
      </c>
      <c r="E32" s="6" t="s">
        <v>25</v>
      </c>
      <c r="F32" s="6" t="s">
        <v>824</v>
      </c>
      <c r="G32">
        <v>1</v>
      </c>
      <c r="H32" s="6" t="s">
        <v>28</v>
      </c>
      <c r="I32" s="5">
        <v>45407</v>
      </c>
      <c r="J32" s="5">
        <v>45295</v>
      </c>
      <c r="K32" s="6" t="s">
        <v>40</v>
      </c>
      <c r="L32" s="6" t="s">
        <v>913</v>
      </c>
      <c r="M32">
        <v>112</v>
      </c>
      <c r="N32">
        <v>1</v>
      </c>
      <c r="O32" s="6" t="s">
        <v>920</v>
      </c>
    </row>
    <row r="33" spans="1:15" x14ac:dyDescent="0.3">
      <c r="A33">
        <v>1096</v>
      </c>
      <c r="B33" s="6" t="s">
        <v>22</v>
      </c>
      <c r="C33">
        <v>21</v>
      </c>
      <c r="D33" s="6" t="s">
        <v>24</v>
      </c>
      <c r="E33" s="6" t="s">
        <v>25</v>
      </c>
      <c r="F33" s="6" t="s">
        <v>685</v>
      </c>
      <c r="G33">
        <v>5</v>
      </c>
      <c r="H33" s="6" t="s">
        <v>908</v>
      </c>
      <c r="I33" s="5">
        <v>45345</v>
      </c>
      <c r="J33" s="5">
        <v>45456</v>
      </c>
      <c r="K33" s="6" t="s">
        <v>69</v>
      </c>
      <c r="L33" s="6" t="s">
        <v>910</v>
      </c>
      <c r="M33">
        <v>111</v>
      </c>
      <c r="N33">
        <v>0</v>
      </c>
      <c r="O33" s="6" t="s">
        <v>920</v>
      </c>
    </row>
    <row r="34" spans="1:15" x14ac:dyDescent="0.3">
      <c r="A34">
        <v>1430</v>
      </c>
      <c r="B34" s="6" t="s">
        <v>22</v>
      </c>
      <c r="C34">
        <v>22</v>
      </c>
      <c r="D34" s="6" t="s">
        <v>55</v>
      </c>
      <c r="E34" s="6" t="s">
        <v>84</v>
      </c>
      <c r="F34" s="6" t="s">
        <v>677</v>
      </c>
      <c r="G34">
        <v>5</v>
      </c>
      <c r="H34" s="6" t="s">
        <v>76</v>
      </c>
      <c r="I34" s="5">
        <v>45538</v>
      </c>
      <c r="J34" s="5">
        <v>45429</v>
      </c>
      <c r="K34" s="6" t="s">
        <v>40</v>
      </c>
      <c r="L34" s="6" t="s">
        <v>913</v>
      </c>
      <c r="M34">
        <v>109</v>
      </c>
      <c r="N34">
        <v>1</v>
      </c>
      <c r="O34" s="6" t="s">
        <v>920</v>
      </c>
    </row>
    <row r="35" spans="1:15" x14ac:dyDescent="0.3">
      <c r="A35">
        <v>1330</v>
      </c>
      <c r="B35" s="6" t="s">
        <v>1023</v>
      </c>
      <c r="C35">
        <v>23</v>
      </c>
      <c r="D35" s="6" t="s">
        <v>55</v>
      </c>
      <c r="E35" s="6" t="s">
        <v>167</v>
      </c>
      <c r="F35" s="6" t="s">
        <v>798</v>
      </c>
      <c r="G35">
        <v>0</v>
      </c>
      <c r="H35" s="6" t="s">
        <v>908</v>
      </c>
      <c r="I35" s="5">
        <v>45432</v>
      </c>
      <c r="J35" s="5">
        <v>45324</v>
      </c>
      <c r="K35" s="6" t="s">
        <v>914</v>
      </c>
      <c r="L35" s="6" t="s">
        <v>911</v>
      </c>
      <c r="M35">
        <v>108</v>
      </c>
      <c r="N35">
        <v>0</v>
      </c>
      <c r="O35" s="6" t="s">
        <v>920</v>
      </c>
    </row>
    <row r="36" spans="1:15" x14ac:dyDescent="0.3">
      <c r="A36">
        <v>1440</v>
      </c>
      <c r="B36" s="6" t="s">
        <v>47</v>
      </c>
      <c r="C36">
        <v>18</v>
      </c>
      <c r="D36" s="6" t="s">
        <v>24</v>
      </c>
      <c r="E36" s="6" t="s">
        <v>167</v>
      </c>
      <c r="F36" s="6" t="s">
        <v>880</v>
      </c>
      <c r="G36">
        <v>3</v>
      </c>
      <c r="H36" s="6" t="s">
        <v>28</v>
      </c>
      <c r="I36" s="5">
        <v>45326</v>
      </c>
      <c r="J36" s="5">
        <v>45431</v>
      </c>
      <c r="K36" s="6" t="s">
        <v>40</v>
      </c>
      <c r="L36" s="6" t="s">
        <v>1021</v>
      </c>
      <c r="M36">
        <v>105</v>
      </c>
      <c r="N36">
        <v>1</v>
      </c>
      <c r="O36" s="6" t="s">
        <v>920</v>
      </c>
    </row>
    <row r="37" spans="1:15" x14ac:dyDescent="0.3">
      <c r="A37">
        <v>1434</v>
      </c>
      <c r="B37" s="6" t="s">
        <v>136</v>
      </c>
      <c r="C37">
        <v>19</v>
      </c>
      <c r="D37" s="6" t="s">
        <v>24</v>
      </c>
      <c r="E37" s="6" t="s">
        <v>25</v>
      </c>
      <c r="F37" s="6" t="s">
        <v>753</v>
      </c>
      <c r="G37">
        <v>5</v>
      </c>
      <c r="H37" s="6" t="s">
        <v>17</v>
      </c>
      <c r="I37" s="5">
        <v>45324</v>
      </c>
      <c r="J37" s="5">
        <v>45426</v>
      </c>
      <c r="K37" s="6" t="s">
        <v>69</v>
      </c>
      <c r="L37" s="6" t="s">
        <v>913</v>
      </c>
      <c r="M37">
        <v>102</v>
      </c>
      <c r="N37">
        <v>0</v>
      </c>
      <c r="O37" s="6" t="s">
        <v>920</v>
      </c>
    </row>
    <row r="38" spans="1:15" x14ac:dyDescent="0.3">
      <c r="A38">
        <v>1247</v>
      </c>
      <c r="B38" s="6" t="s">
        <v>22</v>
      </c>
      <c r="C38">
        <v>24</v>
      </c>
      <c r="D38" s="6" t="s">
        <v>659</v>
      </c>
      <c r="E38" s="6" t="s">
        <v>156</v>
      </c>
      <c r="F38" s="6" t="s">
        <v>877</v>
      </c>
      <c r="G38">
        <v>4</v>
      </c>
      <c r="H38" s="6" t="s">
        <v>17</v>
      </c>
      <c r="I38" s="5">
        <v>45398</v>
      </c>
      <c r="J38" s="5">
        <v>45296</v>
      </c>
      <c r="K38" s="6" t="s">
        <v>20</v>
      </c>
      <c r="L38" s="6" t="s">
        <v>909</v>
      </c>
      <c r="M38">
        <v>102</v>
      </c>
      <c r="N38">
        <v>0</v>
      </c>
      <c r="O38" s="6" t="s">
        <v>920</v>
      </c>
    </row>
    <row r="39" spans="1:15" x14ac:dyDescent="0.3">
      <c r="A39">
        <v>1002</v>
      </c>
      <c r="B39" s="6" t="s">
        <v>32</v>
      </c>
      <c r="C39">
        <v>22</v>
      </c>
      <c r="D39" s="6" t="s">
        <v>659</v>
      </c>
      <c r="E39" s="6" t="s">
        <v>25</v>
      </c>
      <c r="F39" s="6" t="s">
        <v>691</v>
      </c>
      <c r="G39">
        <v>4</v>
      </c>
      <c r="H39" s="6" t="s">
        <v>76</v>
      </c>
      <c r="I39" s="5">
        <v>45308</v>
      </c>
      <c r="J39" s="5">
        <v>45408</v>
      </c>
      <c r="K39" s="6" t="s">
        <v>69</v>
      </c>
      <c r="L39" s="6" t="s">
        <v>1021</v>
      </c>
      <c r="M39">
        <v>100</v>
      </c>
      <c r="N39">
        <v>0</v>
      </c>
      <c r="O39" s="6" t="s">
        <v>920</v>
      </c>
    </row>
    <row r="40" spans="1:15" x14ac:dyDescent="0.3">
      <c r="A40">
        <v>1340</v>
      </c>
      <c r="B40" s="6" t="s">
        <v>155</v>
      </c>
      <c r="C40">
        <v>25</v>
      </c>
      <c r="D40" s="6" t="s">
        <v>55</v>
      </c>
      <c r="E40" s="6" t="s">
        <v>167</v>
      </c>
      <c r="F40" s="6" t="s">
        <v>692</v>
      </c>
      <c r="G40">
        <v>1</v>
      </c>
      <c r="H40" s="6" t="s">
        <v>28</v>
      </c>
      <c r="I40" s="5">
        <v>45505</v>
      </c>
      <c r="J40" s="5">
        <v>45405</v>
      </c>
      <c r="K40" s="6" t="s">
        <v>40</v>
      </c>
      <c r="L40" s="6" t="s">
        <v>913</v>
      </c>
      <c r="M40">
        <v>100</v>
      </c>
      <c r="N40">
        <v>1</v>
      </c>
      <c r="O40" s="6" t="s">
        <v>920</v>
      </c>
    </row>
    <row r="41" spans="1:15" x14ac:dyDescent="0.3">
      <c r="A41">
        <v>1460</v>
      </c>
      <c r="B41" s="6" t="s">
        <v>1022</v>
      </c>
      <c r="C41">
        <v>18</v>
      </c>
      <c r="D41" s="6" t="s">
        <v>24</v>
      </c>
      <c r="E41" s="6" t="s">
        <v>156</v>
      </c>
      <c r="F41" s="6" t="s">
        <v>831</v>
      </c>
      <c r="G41">
        <v>4</v>
      </c>
      <c r="H41" s="6" t="s">
        <v>17</v>
      </c>
      <c r="I41" s="5">
        <v>45298</v>
      </c>
      <c r="J41" s="5">
        <v>45397</v>
      </c>
      <c r="K41" s="6" t="s">
        <v>69</v>
      </c>
      <c r="L41" s="6" t="s">
        <v>1021</v>
      </c>
      <c r="M41">
        <v>99</v>
      </c>
      <c r="N41">
        <v>0</v>
      </c>
      <c r="O41" s="6" t="s">
        <v>920</v>
      </c>
    </row>
    <row r="42" spans="1:15" x14ac:dyDescent="0.3">
      <c r="A42">
        <v>1380</v>
      </c>
      <c r="B42" s="6" t="s">
        <v>1023</v>
      </c>
      <c r="C42">
        <v>25</v>
      </c>
      <c r="D42" s="6" t="s">
        <v>55</v>
      </c>
      <c r="E42" s="6" t="s">
        <v>156</v>
      </c>
      <c r="F42" s="6" t="s">
        <v>702</v>
      </c>
      <c r="G42">
        <v>5</v>
      </c>
      <c r="H42" s="6" t="s">
        <v>76</v>
      </c>
      <c r="I42" s="5">
        <v>45456</v>
      </c>
      <c r="J42" s="5">
        <v>45359</v>
      </c>
      <c r="K42" s="6" t="s">
        <v>40</v>
      </c>
      <c r="L42" s="6" t="s">
        <v>909</v>
      </c>
      <c r="M42">
        <v>97</v>
      </c>
      <c r="N42">
        <v>1</v>
      </c>
      <c r="O42" s="6" t="s">
        <v>920</v>
      </c>
    </row>
    <row r="43" spans="1:15" x14ac:dyDescent="0.3">
      <c r="A43">
        <v>1139</v>
      </c>
      <c r="B43" s="6" t="s">
        <v>22</v>
      </c>
      <c r="C43">
        <v>22</v>
      </c>
      <c r="D43" s="6" t="s">
        <v>659</v>
      </c>
      <c r="E43" s="6" t="s">
        <v>84</v>
      </c>
      <c r="F43" s="6" t="s">
        <v>772</v>
      </c>
      <c r="G43">
        <v>4</v>
      </c>
      <c r="H43" s="6" t="s">
        <v>28</v>
      </c>
      <c r="I43" s="5">
        <v>45570</v>
      </c>
      <c r="J43" s="5">
        <v>45474</v>
      </c>
      <c r="K43" s="6" t="s">
        <v>40</v>
      </c>
      <c r="L43" s="6" t="s">
        <v>1021</v>
      </c>
      <c r="M43">
        <v>96</v>
      </c>
      <c r="N43">
        <v>1</v>
      </c>
      <c r="O43" s="6" t="s">
        <v>920</v>
      </c>
    </row>
    <row r="44" spans="1:15" x14ac:dyDescent="0.3">
      <c r="A44">
        <v>1357</v>
      </c>
      <c r="B44" s="6" t="s">
        <v>117</v>
      </c>
      <c r="C44">
        <v>25</v>
      </c>
      <c r="D44" s="6" t="s">
        <v>24</v>
      </c>
      <c r="E44" s="6" t="s">
        <v>84</v>
      </c>
      <c r="F44" s="6" t="s">
        <v>892</v>
      </c>
      <c r="G44">
        <v>1</v>
      </c>
      <c r="H44" s="6" t="s">
        <v>76</v>
      </c>
      <c r="I44" s="5">
        <v>45313</v>
      </c>
      <c r="J44" s="5">
        <v>45408</v>
      </c>
      <c r="K44" s="6" t="s">
        <v>69</v>
      </c>
      <c r="L44" s="6" t="s">
        <v>1021</v>
      </c>
      <c r="M44">
        <v>95</v>
      </c>
      <c r="N44">
        <v>0</v>
      </c>
      <c r="O44" s="6" t="s">
        <v>920</v>
      </c>
    </row>
    <row r="45" spans="1:15" x14ac:dyDescent="0.3">
      <c r="A45">
        <v>1300</v>
      </c>
      <c r="B45" s="6" t="s">
        <v>163</v>
      </c>
      <c r="C45">
        <v>22</v>
      </c>
      <c r="D45" s="6" t="s">
        <v>659</v>
      </c>
      <c r="E45" s="6" t="s">
        <v>25</v>
      </c>
      <c r="F45" s="6" t="s">
        <v>833</v>
      </c>
      <c r="G45">
        <v>5</v>
      </c>
      <c r="H45" s="6" t="s">
        <v>17</v>
      </c>
      <c r="I45" s="5">
        <v>45360</v>
      </c>
      <c r="J45" s="5">
        <v>45454</v>
      </c>
      <c r="K45" s="6" t="s">
        <v>40</v>
      </c>
      <c r="L45" s="6" t="s">
        <v>913</v>
      </c>
      <c r="M45">
        <v>94</v>
      </c>
      <c r="N45">
        <v>1</v>
      </c>
      <c r="O45" s="6" t="s">
        <v>920</v>
      </c>
    </row>
    <row r="46" spans="1:15" x14ac:dyDescent="0.3">
      <c r="A46">
        <v>1158</v>
      </c>
      <c r="B46" s="6" t="s">
        <v>74</v>
      </c>
      <c r="C46">
        <v>21</v>
      </c>
      <c r="D46" s="6" t="s">
        <v>659</v>
      </c>
      <c r="E46" s="6" t="s">
        <v>167</v>
      </c>
      <c r="F46" s="6" t="s">
        <v>732</v>
      </c>
      <c r="G46">
        <v>0</v>
      </c>
      <c r="H46" s="6" t="s">
        <v>17</v>
      </c>
      <c r="I46" s="5">
        <v>45379</v>
      </c>
      <c r="J46" s="5">
        <v>45471</v>
      </c>
      <c r="K46" s="6" t="s">
        <v>40</v>
      </c>
      <c r="L46" s="6" t="s">
        <v>910</v>
      </c>
      <c r="M46">
        <v>92</v>
      </c>
      <c r="N46">
        <v>1</v>
      </c>
      <c r="O46" s="6" t="s">
        <v>920</v>
      </c>
    </row>
    <row r="47" spans="1:15" x14ac:dyDescent="0.3">
      <c r="A47">
        <v>1371</v>
      </c>
      <c r="B47" s="6" t="s">
        <v>155</v>
      </c>
      <c r="C47">
        <v>20</v>
      </c>
      <c r="D47" s="6" t="s">
        <v>24</v>
      </c>
      <c r="E47" s="6" t="s">
        <v>84</v>
      </c>
      <c r="F47" s="6" t="s">
        <v>736</v>
      </c>
      <c r="G47">
        <v>2</v>
      </c>
      <c r="H47" s="6" t="s">
        <v>76</v>
      </c>
      <c r="I47" s="5">
        <v>45373</v>
      </c>
      <c r="J47" s="5">
        <v>45465</v>
      </c>
      <c r="K47" s="6" t="s">
        <v>40</v>
      </c>
      <c r="L47" s="6" t="s">
        <v>913</v>
      </c>
      <c r="M47">
        <v>92</v>
      </c>
      <c r="N47">
        <v>1</v>
      </c>
      <c r="O47" s="6" t="s">
        <v>920</v>
      </c>
    </row>
    <row r="48" spans="1:15" x14ac:dyDescent="0.3">
      <c r="A48">
        <v>1305</v>
      </c>
      <c r="B48" s="6" t="s">
        <v>163</v>
      </c>
      <c r="C48">
        <v>21</v>
      </c>
      <c r="D48" s="6" t="s">
        <v>24</v>
      </c>
      <c r="E48" s="6" t="s">
        <v>156</v>
      </c>
      <c r="F48" s="6" t="s">
        <v>688</v>
      </c>
      <c r="G48">
        <v>5</v>
      </c>
      <c r="H48" s="6" t="s">
        <v>17</v>
      </c>
      <c r="I48" s="5">
        <v>45312</v>
      </c>
      <c r="J48" s="5">
        <v>45403</v>
      </c>
      <c r="K48" s="6" t="s">
        <v>69</v>
      </c>
      <c r="L48" s="6" t="s">
        <v>1021</v>
      </c>
      <c r="M48">
        <v>91</v>
      </c>
      <c r="N48">
        <v>0</v>
      </c>
      <c r="O48" s="6" t="s">
        <v>920</v>
      </c>
    </row>
    <row r="49" spans="1:15" x14ac:dyDescent="0.3">
      <c r="A49">
        <v>1047</v>
      </c>
      <c r="B49" s="6" t="s">
        <v>32</v>
      </c>
      <c r="C49">
        <v>21</v>
      </c>
      <c r="D49" s="6" t="s">
        <v>24</v>
      </c>
      <c r="E49" s="6" t="s">
        <v>84</v>
      </c>
      <c r="F49" s="6" t="s">
        <v>674</v>
      </c>
      <c r="G49">
        <v>5</v>
      </c>
      <c r="H49" s="6" t="s">
        <v>17</v>
      </c>
      <c r="I49" s="5">
        <v>45451</v>
      </c>
      <c r="J49" s="5">
        <v>45539</v>
      </c>
      <c r="K49" s="6" t="s">
        <v>40</v>
      </c>
      <c r="L49" s="6" t="s">
        <v>913</v>
      </c>
      <c r="M49">
        <v>88</v>
      </c>
      <c r="N49">
        <v>1</v>
      </c>
      <c r="O49" s="6" t="s">
        <v>920</v>
      </c>
    </row>
    <row r="50" spans="1:15" x14ac:dyDescent="0.3">
      <c r="A50">
        <v>1126</v>
      </c>
      <c r="B50" s="6" t="s">
        <v>1023</v>
      </c>
      <c r="C50">
        <v>20</v>
      </c>
      <c r="D50" s="6" t="s">
        <v>55</v>
      </c>
      <c r="E50" s="6" t="s">
        <v>156</v>
      </c>
      <c r="F50" s="6" t="s">
        <v>673</v>
      </c>
      <c r="G50">
        <v>5</v>
      </c>
      <c r="H50" s="6" t="s">
        <v>28</v>
      </c>
      <c r="I50" s="5">
        <v>45305</v>
      </c>
      <c r="J50" s="5">
        <v>45392</v>
      </c>
      <c r="K50" s="6" t="s">
        <v>69</v>
      </c>
      <c r="L50" s="6" t="s">
        <v>910</v>
      </c>
      <c r="M50">
        <v>87</v>
      </c>
      <c r="N50">
        <v>0</v>
      </c>
      <c r="O50" s="6" t="s">
        <v>920</v>
      </c>
    </row>
    <row r="51" spans="1:15" x14ac:dyDescent="0.3">
      <c r="A51">
        <v>1265</v>
      </c>
      <c r="B51" s="6" t="s">
        <v>74</v>
      </c>
      <c r="C51">
        <v>18</v>
      </c>
      <c r="D51" s="6" t="s">
        <v>55</v>
      </c>
      <c r="E51" s="6" t="s">
        <v>84</v>
      </c>
      <c r="F51" s="6" t="s">
        <v>784</v>
      </c>
      <c r="G51">
        <v>1</v>
      </c>
      <c r="H51" s="6" t="s">
        <v>908</v>
      </c>
      <c r="I51" s="5">
        <v>45360</v>
      </c>
      <c r="J51" s="5">
        <v>45447</v>
      </c>
      <c r="K51" s="6" t="s">
        <v>69</v>
      </c>
      <c r="L51" s="6" t="s">
        <v>913</v>
      </c>
      <c r="M51">
        <v>87</v>
      </c>
      <c r="N51">
        <v>0</v>
      </c>
      <c r="O51" s="6" t="s">
        <v>920</v>
      </c>
    </row>
    <row r="52" spans="1:15" x14ac:dyDescent="0.3">
      <c r="A52">
        <v>1323</v>
      </c>
      <c r="B52" s="6" t="s">
        <v>47</v>
      </c>
      <c r="C52">
        <v>19</v>
      </c>
      <c r="D52" s="6" t="s">
        <v>55</v>
      </c>
      <c r="E52" s="6" t="s">
        <v>156</v>
      </c>
      <c r="F52" s="6" t="s">
        <v>832</v>
      </c>
      <c r="G52">
        <v>0</v>
      </c>
      <c r="H52" s="6" t="s">
        <v>28</v>
      </c>
      <c r="I52" s="5">
        <v>45470</v>
      </c>
      <c r="J52" s="5">
        <v>45384</v>
      </c>
      <c r="K52" s="6" t="s">
        <v>40</v>
      </c>
      <c r="L52" s="6" t="s">
        <v>1021</v>
      </c>
      <c r="M52">
        <v>86</v>
      </c>
      <c r="N52">
        <v>1</v>
      </c>
      <c r="O52" s="6" t="s">
        <v>920</v>
      </c>
    </row>
    <row r="53" spans="1:15" x14ac:dyDescent="0.3">
      <c r="A53">
        <v>1373</v>
      </c>
      <c r="B53" s="6" t="s">
        <v>12</v>
      </c>
      <c r="C53">
        <v>21</v>
      </c>
      <c r="D53" s="6" t="s">
        <v>24</v>
      </c>
      <c r="E53" s="6" t="s">
        <v>84</v>
      </c>
      <c r="F53" s="6" t="s">
        <v>763</v>
      </c>
      <c r="G53">
        <v>5</v>
      </c>
      <c r="H53" s="6" t="s">
        <v>908</v>
      </c>
      <c r="I53" s="5">
        <v>45428</v>
      </c>
      <c r="J53" s="5">
        <v>45343</v>
      </c>
      <c r="K53" s="6" t="s">
        <v>40</v>
      </c>
      <c r="L53" s="6" t="s">
        <v>913</v>
      </c>
      <c r="M53">
        <v>85</v>
      </c>
      <c r="N53">
        <v>1</v>
      </c>
      <c r="O53" s="6" t="s">
        <v>920</v>
      </c>
    </row>
    <row r="54" spans="1:15" x14ac:dyDescent="0.3">
      <c r="A54">
        <v>1076</v>
      </c>
      <c r="B54" s="6" t="s">
        <v>1022</v>
      </c>
      <c r="C54">
        <v>21</v>
      </c>
      <c r="D54" s="6" t="s">
        <v>659</v>
      </c>
      <c r="E54" s="6" t="s">
        <v>84</v>
      </c>
      <c r="F54" s="6" t="s">
        <v>713</v>
      </c>
      <c r="G54">
        <v>2</v>
      </c>
      <c r="H54" s="6" t="s">
        <v>908</v>
      </c>
      <c r="I54" s="5">
        <v>45318</v>
      </c>
      <c r="J54" s="5">
        <v>45401</v>
      </c>
      <c r="K54" s="6" t="s">
        <v>40</v>
      </c>
      <c r="L54" s="6" t="s">
        <v>911</v>
      </c>
      <c r="M54">
        <v>83</v>
      </c>
      <c r="N54">
        <v>1</v>
      </c>
      <c r="O54" s="6" t="s">
        <v>920</v>
      </c>
    </row>
    <row r="55" spans="1:15" x14ac:dyDescent="0.3">
      <c r="A55">
        <v>1476</v>
      </c>
      <c r="B55" s="6" t="s">
        <v>12</v>
      </c>
      <c r="C55">
        <v>21</v>
      </c>
      <c r="D55" s="6" t="s">
        <v>55</v>
      </c>
      <c r="E55" s="6" t="s">
        <v>25</v>
      </c>
      <c r="F55" s="6" t="s">
        <v>661</v>
      </c>
      <c r="G55">
        <v>0</v>
      </c>
      <c r="H55" s="6" t="s">
        <v>17</v>
      </c>
      <c r="I55" s="5">
        <v>45426</v>
      </c>
      <c r="J55" s="5">
        <v>45508</v>
      </c>
      <c r="K55" s="6" t="s">
        <v>69</v>
      </c>
      <c r="L55" s="6" t="s">
        <v>909</v>
      </c>
      <c r="M55">
        <v>82</v>
      </c>
      <c r="N55">
        <v>0</v>
      </c>
      <c r="O55" s="6" t="s">
        <v>920</v>
      </c>
    </row>
    <row r="56" spans="1:15" x14ac:dyDescent="0.3">
      <c r="A56">
        <v>1238</v>
      </c>
      <c r="B56" s="6" t="s">
        <v>1023</v>
      </c>
      <c r="C56">
        <v>21</v>
      </c>
      <c r="D56" s="6" t="s">
        <v>55</v>
      </c>
      <c r="E56" s="6" t="s">
        <v>25</v>
      </c>
      <c r="F56" s="6" t="s">
        <v>887</v>
      </c>
      <c r="G56">
        <v>5</v>
      </c>
      <c r="H56" s="6" t="s">
        <v>908</v>
      </c>
      <c r="I56" s="5">
        <v>45329</v>
      </c>
      <c r="J56" s="5">
        <v>45409</v>
      </c>
      <c r="K56" s="6" t="s">
        <v>40</v>
      </c>
      <c r="L56" s="6" t="s">
        <v>909</v>
      </c>
      <c r="M56">
        <v>80</v>
      </c>
      <c r="N56">
        <v>1</v>
      </c>
      <c r="O56" s="6" t="s">
        <v>920</v>
      </c>
    </row>
    <row r="57" spans="1:15" x14ac:dyDescent="0.3">
      <c r="A57">
        <v>1123</v>
      </c>
      <c r="B57" s="6" t="s">
        <v>22</v>
      </c>
      <c r="C57">
        <v>20</v>
      </c>
      <c r="D57" s="6" t="s">
        <v>55</v>
      </c>
      <c r="E57" s="6" t="s">
        <v>84</v>
      </c>
      <c r="F57" s="6" t="s">
        <v>667</v>
      </c>
      <c r="G57">
        <v>3</v>
      </c>
      <c r="H57" s="6" t="s">
        <v>17</v>
      </c>
      <c r="I57" s="5">
        <v>45444</v>
      </c>
      <c r="J57" s="5">
        <v>45365</v>
      </c>
      <c r="K57" s="6" t="s">
        <v>40</v>
      </c>
      <c r="L57" s="6" t="s">
        <v>909</v>
      </c>
      <c r="M57">
        <v>79</v>
      </c>
      <c r="N57">
        <v>1</v>
      </c>
      <c r="O57" s="6" t="s">
        <v>920</v>
      </c>
    </row>
    <row r="58" spans="1:15" x14ac:dyDescent="0.3">
      <c r="A58">
        <v>1314</v>
      </c>
      <c r="B58" s="6" t="s">
        <v>47</v>
      </c>
      <c r="C58">
        <v>19</v>
      </c>
      <c r="D58" s="6" t="s">
        <v>659</v>
      </c>
      <c r="E58" s="6" t="s">
        <v>25</v>
      </c>
      <c r="F58" s="6" t="s">
        <v>721</v>
      </c>
      <c r="G58">
        <v>5</v>
      </c>
      <c r="H58" s="6" t="s">
        <v>28</v>
      </c>
      <c r="I58" s="5">
        <v>45377</v>
      </c>
      <c r="J58" s="5">
        <v>45298</v>
      </c>
      <c r="K58" s="6" t="s">
        <v>40</v>
      </c>
      <c r="L58" s="6" t="s">
        <v>909</v>
      </c>
      <c r="M58">
        <v>79</v>
      </c>
      <c r="N58">
        <v>1</v>
      </c>
      <c r="O58" s="6" t="s">
        <v>920</v>
      </c>
    </row>
    <row r="59" spans="1:15" x14ac:dyDescent="0.3">
      <c r="A59">
        <v>1411</v>
      </c>
      <c r="B59" s="6" t="s">
        <v>22</v>
      </c>
      <c r="C59">
        <v>21</v>
      </c>
      <c r="D59" s="6" t="s">
        <v>55</v>
      </c>
      <c r="E59" s="6" t="s">
        <v>25</v>
      </c>
      <c r="F59" s="6" t="s">
        <v>729</v>
      </c>
      <c r="G59">
        <v>0</v>
      </c>
      <c r="H59" s="6" t="s">
        <v>908</v>
      </c>
      <c r="I59" s="5">
        <v>45417</v>
      </c>
      <c r="J59" s="5">
        <v>45340</v>
      </c>
      <c r="K59" s="6" t="s">
        <v>40</v>
      </c>
      <c r="L59" s="6" t="s">
        <v>911</v>
      </c>
      <c r="M59">
        <v>77</v>
      </c>
      <c r="N59">
        <v>1</v>
      </c>
      <c r="O59" s="6" t="s">
        <v>920</v>
      </c>
    </row>
    <row r="60" spans="1:15" x14ac:dyDescent="0.3">
      <c r="A60">
        <v>1065</v>
      </c>
      <c r="B60" s="6" t="s">
        <v>32</v>
      </c>
      <c r="C60">
        <v>19</v>
      </c>
      <c r="D60" s="6" t="s">
        <v>659</v>
      </c>
      <c r="E60" s="6" t="s">
        <v>167</v>
      </c>
      <c r="F60" s="6" t="s">
        <v>860</v>
      </c>
      <c r="G60">
        <v>2</v>
      </c>
      <c r="H60" s="6" t="s">
        <v>17</v>
      </c>
      <c r="I60" s="5">
        <v>45387</v>
      </c>
      <c r="J60" s="5">
        <v>45310</v>
      </c>
      <c r="K60" s="6" t="s">
        <v>40</v>
      </c>
      <c r="L60" s="6" t="s">
        <v>1021</v>
      </c>
      <c r="M60">
        <v>77</v>
      </c>
      <c r="N60">
        <v>1</v>
      </c>
      <c r="O60" s="6" t="s">
        <v>920</v>
      </c>
    </row>
    <row r="61" spans="1:15" x14ac:dyDescent="0.3">
      <c r="A61">
        <v>1176</v>
      </c>
      <c r="B61" s="6" t="s">
        <v>74</v>
      </c>
      <c r="C61">
        <v>22</v>
      </c>
      <c r="D61" s="6" t="s">
        <v>24</v>
      </c>
      <c r="E61" s="6" t="s">
        <v>25</v>
      </c>
      <c r="F61" s="6" t="s">
        <v>698</v>
      </c>
      <c r="G61">
        <v>4</v>
      </c>
      <c r="H61" s="6" t="s">
        <v>908</v>
      </c>
      <c r="I61" s="5">
        <v>45399</v>
      </c>
      <c r="J61" s="5">
        <v>45323</v>
      </c>
      <c r="K61" s="6" t="s">
        <v>69</v>
      </c>
      <c r="L61" s="6" t="s">
        <v>909</v>
      </c>
      <c r="M61">
        <v>76</v>
      </c>
      <c r="N61">
        <v>0</v>
      </c>
      <c r="O61" s="6" t="s">
        <v>920</v>
      </c>
    </row>
    <row r="62" spans="1:15" x14ac:dyDescent="0.3">
      <c r="A62">
        <v>1321</v>
      </c>
      <c r="B62" s="6" t="s">
        <v>74</v>
      </c>
      <c r="C62">
        <v>19</v>
      </c>
      <c r="D62" s="6" t="s">
        <v>24</v>
      </c>
      <c r="E62" s="6" t="s">
        <v>167</v>
      </c>
      <c r="F62" s="6" t="s">
        <v>828</v>
      </c>
      <c r="G62">
        <v>4</v>
      </c>
      <c r="H62" s="6" t="s">
        <v>17</v>
      </c>
      <c r="I62" s="5">
        <v>45339</v>
      </c>
      <c r="J62" s="5">
        <v>45414</v>
      </c>
      <c r="K62" s="6" t="s">
        <v>40</v>
      </c>
      <c r="L62" s="6" t="s">
        <v>909</v>
      </c>
      <c r="M62">
        <v>75</v>
      </c>
      <c r="N62">
        <v>1</v>
      </c>
      <c r="O62" s="6" t="s">
        <v>920</v>
      </c>
    </row>
    <row r="63" spans="1:15" x14ac:dyDescent="0.3">
      <c r="A63">
        <v>1322</v>
      </c>
      <c r="B63" s="6" t="s">
        <v>136</v>
      </c>
      <c r="C63">
        <v>21</v>
      </c>
      <c r="D63" s="6" t="s">
        <v>24</v>
      </c>
      <c r="E63" s="6" t="s">
        <v>84</v>
      </c>
      <c r="F63" s="6" t="s">
        <v>694</v>
      </c>
      <c r="G63">
        <v>4</v>
      </c>
      <c r="H63" s="6" t="s">
        <v>17</v>
      </c>
      <c r="I63" s="5">
        <v>45384</v>
      </c>
      <c r="J63" s="5">
        <v>45311</v>
      </c>
      <c r="K63" s="6" t="s">
        <v>40</v>
      </c>
      <c r="L63" s="6" t="s">
        <v>910</v>
      </c>
      <c r="M63">
        <v>73</v>
      </c>
      <c r="N63">
        <v>1</v>
      </c>
      <c r="O63" s="6" t="s">
        <v>920</v>
      </c>
    </row>
    <row r="64" spans="1:15" x14ac:dyDescent="0.3">
      <c r="A64">
        <v>1361</v>
      </c>
      <c r="B64" s="6" t="s">
        <v>74</v>
      </c>
      <c r="C64">
        <v>25</v>
      </c>
      <c r="D64" s="6" t="s">
        <v>55</v>
      </c>
      <c r="E64" s="6" t="s">
        <v>25</v>
      </c>
      <c r="F64" s="6" t="s">
        <v>700</v>
      </c>
      <c r="G64">
        <v>5</v>
      </c>
      <c r="H64" s="6" t="s">
        <v>908</v>
      </c>
      <c r="I64" s="5">
        <v>45336</v>
      </c>
      <c r="J64" s="5">
        <v>45409</v>
      </c>
      <c r="K64" s="6" t="s">
        <v>40</v>
      </c>
      <c r="L64" s="6" t="s">
        <v>913</v>
      </c>
      <c r="M64">
        <v>73</v>
      </c>
      <c r="N64">
        <v>1</v>
      </c>
      <c r="O64" s="6" t="s">
        <v>920</v>
      </c>
    </row>
    <row r="65" spans="1:15" x14ac:dyDescent="0.3">
      <c r="A65">
        <v>1424</v>
      </c>
      <c r="B65" s="6" t="s">
        <v>74</v>
      </c>
      <c r="C65">
        <v>22</v>
      </c>
      <c r="D65" s="6" t="s">
        <v>659</v>
      </c>
      <c r="E65" s="6" t="s">
        <v>167</v>
      </c>
      <c r="F65" s="6" t="s">
        <v>849</v>
      </c>
      <c r="G65">
        <v>5</v>
      </c>
      <c r="H65" s="6" t="s">
        <v>908</v>
      </c>
      <c r="I65" s="5">
        <v>45310</v>
      </c>
      <c r="J65" s="5">
        <v>45383</v>
      </c>
      <c r="K65" s="6" t="s">
        <v>20</v>
      </c>
      <c r="L65" s="6" t="s">
        <v>913</v>
      </c>
      <c r="M65">
        <v>73</v>
      </c>
      <c r="N65">
        <v>0</v>
      </c>
      <c r="O65" s="6" t="s">
        <v>920</v>
      </c>
    </row>
    <row r="66" spans="1:15" x14ac:dyDescent="0.3">
      <c r="A66">
        <v>1365</v>
      </c>
      <c r="B66" s="6" t="s">
        <v>22</v>
      </c>
      <c r="C66">
        <v>24</v>
      </c>
      <c r="D66" s="6" t="s">
        <v>659</v>
      </c>
      <c r="E66" s="6" t="s">
        <v>156</v>
      </c>
      <c r="F66" s="6" t="s">
        <v>735</v>
      </c>
      <c r="G66">
        <v>1</v>
      </c>
      <c r="H66" s="6" t="s">
        <v>908</v>
      </c>
      <c r="I66" s="5">
        <v>45445</v>
      </c>
      <c r="J66" s="5">
        <v>45374</v>
      </c>
      <c r="K66" s="6" t="s">
        <v>914</v>
      </c>
      <c r="L66" s="6" t="s">
        <v>909</v>
      </c>
      <c r="M66">
        <v>71</v>
      </c>
      <c r="N66">
        <v>0</v>
      </c>
      <c r="O66" s="6" t="s">
        <v>920</v>
      </c>
    </row>
    <row r="67" spans="1:15" x14ac:dyDescent="0.3">
      <c r="A67">
        <v>1354</v>
      </c>
      <c r="B67" s="6" t="s">
        <v>22</v>
      </c>
      <c r="C67">
        <v>19</v>
      </c>
      <c r="D67" s="6" t="s">
        <v>24</v>
      </c>
      <c r="E67" s="6" t="s">
        <v>156</v>
      </c>
      <c r="F67" s="6" t="s">
        <v>777</v>
      </c>
      <c r="G67">
        <v>1</v>
      </c>
      <c r="H67" s="6" t="s">
        <v>28</v>
      </c>
      <c r="I67" s="5">
        <v>45316</v>
      </c>
      <c r="J67" s="5">
        <v>45386</v>
      </c>
      <c r="K67" s="6" t="s">
        <v>914</v>
      </c>
      <c r="L67" s="6" t="s">
        <v>909</v>
      </c>
      <c r="M67">
        <v>70</v>
      </c>
      <c r="N67">
        <v>0</v>
      </c>
      <c r="O67" s="6" t="s">
        <v>920</v>
      </c>
    </row>
    <row r="68" spans="1:15" x14ac:dyDescent="0.3">
      <c r="A68">
        <v>1222</v>
      </c>
      <c r="B68" s="6" t="s">
        <v>136</v>
      </c>
      <c r="C68">
        <v>21</v>
      </c>
      <c r="D68" s="6" t="s">
        <v>55</v>
      </c>
      <c r="E68" s="6" t="s">
        <v>167</v>
      </c>
      <c r="F68" s="6" t="s">
        <v>861</v>
      </c>
      <c r="G68">
        <v>4</v>
      </c>
      <c r="H68" s="6" t="s">
        <v>28</v>
      </c>
      <c r="I68" s="5">
        <v>45301</v>
      </c>
      <c r="J68" s="5">
        <v>45370</v>
      </c>
      <c r="K68" s="6" t="s">
        <v>40</v>
      </c>
      <c r="L68" s="6" t="s">
        <v>913</v>
      </c>
      <c r="M68">
        <v>69</v>
      </c>
      <c r="N68">
        <v>1</v>
      </c>
      <c r="O68" s="6" t="s">
        <v>920</v>
      </c>
    </row>
    <row r="69" spans="1:15" x14ac:dyDescent="0.3">
      <c r="A69">
        <v>1484</v>
      </c>
      <c r="B69" s="6" t="s">
        <v>1023</v>
      </c>
      <c r="C69">
        <v>20</v>
      </c>
      <c r="D69" s="6" t="s">
        <v>55</v>
      </c>
      <c r="E69" s="6" t="s">
        <v>25</v>
      </c>
      <c r="F69" s="6" t="s">
        <v>726</v>
      </c>
      <c r="G69">
        <v>5</v>
      </c>
      <c r="H69" s="6" t="s">
        <v>17</v>
      </c>
      <c r="I69" s="5">
        <v>45376</v>
      </c>
      <c r="J69" s="5">
        <v>45444</v>
      </c>
      <c r="K69" s="6" t="s">
        <v>914</v>
      </c>
      <c r="L69" s="6" t="s">
        <v>913</v>
      </c>
      <c r="M69">
        <v>68</v>
      </c>
      <c r="N69">
        <v>0</v>
      </c>
      <c r="O69" s="6" t="s">
        <v>920</v>
      </c>
    </row>
    <row r="70" spans="1:15" x14ac:dyDescent="0.3">
      <c r="A70">
        <v>1290</v>
      </c>
      <c r="B70" s="6" t="s">
        <v>22</v>
      </c>
      <c r="C70">
        <v>21</v>
      </c>
      <c r="D70" s="6" t="s">
        <v>55</v>
      </c>
      <c r="E70" s="6" t="s">
        <v>25</v>
      </c>
      <c r="F70" s="6" t="s">
        <v>711</v>
      </c>
      <c r="G70">
        <v>0</v>
      </c>
      <c r="H70" s="6" t="s">
        <v>28</v>
      </c>
      <c r="I70" s="5">
        <v>45413</v>
      </c>
      <c r="J70" s="5">
        <v>45346</v>
      </c>
      <c r="K70" s="6" t="s">
        <v>40</v>
      </c>
      <c r="L70" s="6" t="s">
        <v>1021</v>
      </c>
      <c r="M70">
        <v>67</v>
      </c>
      <c r="N70">
        <v>1</v>
      </c>
      <c r="O70" s="6" t="s">
        <v>920</v>
      </c>
    </row>
    <row r="71" spans="1:15" x14ac:dyDescent="0.3">
      <c r="A71">
        <v>1206</v>
      </c>
      <c r="B71" s="6" t="s">
        <v>32</v>
      </c>
      <c r="C71">
        <v>22</v>
      </c>
      <c r="D71" s="6" t="s">
        <v>24</v>
      </c>
      <c r="E71" s="6" t="s">
        <v>25</v>
      </c>
      <c r="F71" s="6" t="s">
        <v>858</v>
      </c>
      <c r="G71">
        <v>5</v>
      </c>
      <c r="H71" s="6" t="s">
        <v>908</v>
      </c>
      <c r="I71" s="5">
        <v>45438</v>
      </c>
      <c r="J71" s="5">
        <v>45372</v>
      </c>
      <c r="K71" s="6" t="s">
        <v>69</v>
      </c>
      <c r="L71" s="6" t="s">
        <v>1021</v>
      </c>
      <c r="M71">
        <v>66</v>
      </c>
      <c r="N71">
        <v>0</v>
      </c>
      <c r="O71" s="6" t="s">
        <v>920</v>
      </c>
    </row>
    <row r="72" spans="1:15" x14ac:dyDescent="0.3">
      <c r="A72">
        <v>1146</v>
      </c>
      <c r="B72" s="6" t="s">
        <v>117</v>
      </c>
      <c r="C72">
        <v>25</v>
      </c>
      <c r="D72" s="6" t="s">
        <v>659</v>
      </c>
      <c r="E72" s="6" t="s">
        <v>84</v>
      </c>
      <c r="F72" s="6" t="s">
        <v>725</v>
      </c>
      <c r="G72">
        <v>0</v>
      </c>
      <c r="H72" s="6" t="s">
        <v>76</v>
      </c>
      <c r="I72" s="5">
        <v>45448</v>
      </c>
      <c r="J72" s="5">
        <v>45383</v>
      </c>
      <c r="K72" s="6" t="s">
        <v>69</v>
      </c>
      <c r="L72" s="6" t="s">
        <v>913</v>
      </c>
      <c r="M72">
        <v>65</v>
      </c>
      <c r="N72">
        <v>0</v>
      </c>
      <c r="O72" s="6" t="s">
        <v>920</v>
      </c>
    </row>
    <row r="73" spans="1:15" x14ac:dyDescent="0.3">
      <c r="A73">
        <v>1141</v>
      </c>
      <c r="B73" s="6" t="s">
        <v>136</v>
      </c>
      <c r="C73">
        <v>25</v>
      </c>
      <c r="D73" s="6" t="s">
        <v>55</v>
      </c>
      <c r="E73" s="6" t="s">
        <v>25</v>
      </c>
      <c r="F73" s="6" t="s">
        <v>839</v>
      </c>
      <c r="G73">
        <v>1</v>
      </c>
      <c r="H73" s="6" t="s">
        <v>28</v>
      </c>
      <c r="I73" s="5">
        <v>45311</v>
      </c>
      <c r="J73" s="5">
        <v>45376</v>
      </c>
      <c r="K73" s="6" t="s">
        <v>20</v>
      </c>
      <c r="L73" s="6" t="s">
        <v>909</v>
      </c>
      <c r="M73">
        <v>65</v>
      </c>
      <c r="N73">
        <v>0</v>
      </c>
      <c r="O73" s="6" t="s">
        <v>920</v>
      </c>
    </row>
    <row r="74" spans="1:15" x14ac:dyDescent="0.3">
      <c r="A74">
        <v>1073</v>
      </c>
      <c r="B74" s="6" t="s">
        <v>1023</v>
      </c>
      <c r="C74">
        <v>22</v>
      </c>
      <c r="D74" s="6" t="s">
        <v>24</v>
      </c>
      <c r="E74" s="6" t="s">
        <v>156</v>
      </c>
      <c r="F74" s="6" t="s">
        <v>903</v>
      </c>
      <c r="G74">
        <v>2</v>
      </c>
      <c r="H74" s="6" t="s">
        <v>17</v>
      </c>
      <c r="I74" s="5">
        <v>45358</v>
      </c>
      <c r="J74" s="5">
        <v>45293</v>
      </c>
      <c r="K74" s="6" t="s">
        <v>69</v>
      </c>
      <c r="L74" s="6" t="s">
        <v>909</v>
      </c>
      <c r="M74">
        <v>65</v>
      </c>
      <c r="N74">
        <v>0</v>
      </c>
      <c r="O74" s="6" t="s">
        <v>920</v>
      </c>
    </row>
    <row r="75" spans="1:15" x14ac:dyDescent="0.3">
      <c r="A75">
        <v>1325</v>
      </c>
      <c r="B75" s="6" t="s">
        <v>47</v>
      </c>
      <c r="C75">
        <v>21</v>
      </c>
      <c r="D75" s="6" t="s">
        <v>55</v>
      </c>
      <c r="E75" s="6" t="s">
        <v>156</v>
      </c>
      <c r="F75" s="6" t="s">
        <v>717</v>
      </c>
      <c r="G75">
        <v>5</v>
      </c>
      <c r="H75" s="6" t="s">
        <v>17</v>
      </c>
      <c r="I75" s="5">
        <v>45429</v>
      </c>
      <c r="J75" s="5">
        <v>45365</v>
      </c>
      <c r="K75" s="6" t="s">
        <v>40</v>
      </c>
      <c r="L75" s="6" t="s">
        <v>911</v>
      </c>
      <c r="M75">
        <v>64</v>
      </c>
      <c r="N75">
        <v>1</v>
      </c>
      <c r="O75" s="6" t="s">
        <v>920</v>
      </c>
    </row>
    <row r="76" spans="1:15" x14ac:dyDescent="0.3">
      <c r="A76">
        <v>1420</v>
      </c>
      <c r="B76" s="6" t="s">
        <v>22</v>
      </c>
      <c r="C76">
        <v>19</v>
      </c>
      <c r="D76" s="6" t="s">
        <v>659</v>
      </c>
      <c r="E76" s="6" t="s">
        <v>25</v>
      </c>
      <c r="F76" s="6" t="s">
        <v>684</v>
      </c>
      <c r="G76">
        <v>3</v>
      </c>
      <c r="H76" s="6" t="s">
        <v>908</v>
      </c>
      <c r="I76" s="5">
        <v>45420</v>
      </c>
      <c r="J76" s="5">
        <v>45357</v>
      </c>
      <c r="K76" s="6" t="s">
        <v>69</v>
      </c>
      <c r="L76" s="6" t="s">
        <v>910</v>
      </c>
      <c r="M76">
        <v>63</v>
      </c>
      <c r="N76">
        <v>0</v>
      </c>
      <c r="O76" s="6" t="s">
        <v>920</v>
      </c>
    </row>
    <row r="77" spans="1:15" x14ac:dyDescent="0.3">
      <c r="A77">
        <v>1360</v>
      </c>
      <c r="B77" s="6" t="s">
        <v>47</v>
      </c>
      <c r="C77">
        <v>18</v>
      </c>
      <c r="D77" s="6" t="s">
        <v>55</v>
      </c>
      <c r="E77" s="6" t="s">
        <v>167</v>
      </c>
      <c r="F77" s="6" t="s">
        <v>807</v>
      </c>
      <c r="G77">
        <v>1</v>
      </c>
      <c r="H77" s="6" t="s">
        <v>908</v>
      </c>
      <c r="I77" s="5">
        <v>45311</v>
      </c>
      <c r="J77" s="5">
        <v>45374</v>
      </c>
      <c r="K77" s="6" t="s">
        <v>40</v>
      </c>
      <c r="L77" s="6" t="s">
        <v>1021</v>
      </c>
      <c r="M77">
        <v>63</v>
      </c>
      <c r="N77">
        <v>1</v>
      </c>
      <c r="O77" s="6" t="s">
        <v>920</v>
      </c>
    </row>
    <row r="78" spans="1:15" x14ac:dyDescent="0.3">
      <c r="A78">
        <v>1050</v>
      </c>
      <c r="B78" s="6" t="s">
        <v>136</v>
      </c>
      <c r="C78">
        <v>19</v>
      </c>
      <c r="D78" s="6" t="s">
        <v>24</v>
      </c>
      <c r="E78" s="6" t="s">
        <v>25</v>
      </c>
      <c r="F78" s="6" t="s">
        <v>891</v>
      </c>
      <c r="G78">
        <v>5</v>
      </c>
      <c r="H78" s="6" t="s">
        <v>908</v>
      </c>
      <c r="I78" s="5">
        <v>45450</v>
      </c>
      <c r="J78" s="5">
        <v>45387</v>
      </c>
      <c r="K78" s="6" t="s">
        <v>40</v>
      </c>
      <c r="L78" s="6" t="s">
        <v>913</v>
      </c>
      <c r="M78">
        <v>63</v>
      </c>
      <c r="N78">
        <v>1</v>
      </c>
      <c r="O78" s="6" t="s">
        <v>920</v>
      </c>
    </row>
    <row r="79" spans="1:15" x14ac:dyDescent="0.3">
      <c r="A79">
        <v>1334</v>
      </c>
      <c r="B79" s="6" t="s">
        <v>1023</v>
      </c>
      <c r="C79">
        <v>22</v>
      </c>
      <c r="D79" s="6" t="s">
        <v>659</v>
      </c>
      <c r="E79" s="6" t="s">
        <v>167</v>
      </c>
      <c r="F79" s="6" t="s">
        <v>682</v>
      </c>
      <c r="G79">
        <v>4</v>
      </c>
      <c r="H79" s="6" t="s">
        <v>28</v>
      </c>
      <c r="I79" s="5">
        <v>45328</v>
      </c>
      <c r="J79" s="5">
        <v>45390</v>
      </c>
      <c r="K79" s="6" t="s">
        <v>914</v>
      </c>
      <c r="L79" s="6" t="s">
        <v>909</v>
      </c>
      <c r="M79">
        <v>62</v>
      </c>
      <c r="N79">
        <v>0</v>
      </c>
      <c r="O79" s="6" t="s">
        <v>920</v>
      </c>
    </row>
    <row r="80" spans="1:15" x14ac:dyDescent="0.3">
      <c r="A80">
        <v>1180</v>
      </c>
      <c r="B80" s="6" t="s">
        <v>74</v>
      </c>
      <c r="C80">
        <v>25</v>
      </c>
      <c r="D80" s="6" t="s">
        <v>24</v>
      </c>
      <c r="E80" s="6" t="s">
        <v>167</v>
      </c>
      <c r="F80" s="6" t="s">
        <v>704</v>
      </c>
      <c r="G80">
        <v>5</v>
      </c>
      <c r="H80" s="6" t="s">
        <v>908</v>
      </c>
      <c r="I80" s="5">
        <v>45429</v>
      </c>
      <c r="J80" s="5">
        <v>45367</v>
      </c>
      <c r="K80" s="6" t="s">
        <v>914</v>
      </c>
      <c r="L80" s="6" t="s">
        <v>911</v>
      </c>
      <c r="M80">
        <v>62</v>
      </c>
      <c r="N80">
        <v>0</v>
      </c>
      <c r="O80" s="6" t="s">
        <v>920</v>
      </c>
    </row>
    <row r="81" spans="1:15" x14ac:dyDescent="0.3">
      <c r="A81">
        <v>1491</v>
      </c>
      <c r="B81" s="6" t="s">
        <v>22</v>
      </c>
      <c r="C81">
        <v>21</v>
      </c>
      <c r="D81" s="6" t="s">
        <v>659</v>
      </c>
      <c r="E81" s="6" t="s">
        <v>25</v>
      </c>
      <c r="F81" s="6" t="s">
        <v>728</v>
      </c>
      <c r="G81">
        <v>4</v>
      </c>
      <c r="H81" s="6" t="s">
        <v>28</v>
      </c>
      <c r="I81" s="5">
        <v>45414</v>
      </c>
      <c r="J81" s="5">
        <v>45353</v>
      </c>
      <c r="K81" s="6" t="s">
        <v>40</v>
      </c>
      <c r="L81" s="6" t="s">
        <v>909</v>
      </c>
      <c r="M81">
        <v>61</v>
      </c>
      <c r="N81">
        <v>1</v>
      </c>
      <c r="O81" s="6" t="s">
        <v>920</v>
      </c>
    </row>
    <row r="82" spans="1:15" x14ac:dyDescent="0.3">
      <c r="A82">
        <v>1111</v>
      </c>
      <c r="B82" s="6" t="s">
        <v>74</v>
      </c>
      <c r="C82">
        <v>21</v>
      </c>
      <c r="D82" s="6" t="s">
        <v>24</v>
      </c>
      <c r="E82" s="6" t="s">
        <v>25</v>
      </c>
      <c r="F82" s="6" t="s">
        <v>679</v>
      </c>
      <c r="G82">
        <v>2</v>
      </c>
      <c r="H82" s="6" t="s">
        <v>17</v>
      </c>
      <c r="I82" s="5">
        <v>45303</v>
      </c>
      <c r="J82" s="5">
        <v>45363</v>
      </c>
      <c r="K82" s="6" t="s">
        <v>20</v>
      </c>
      <c r="L82" s="6" t="s">
        <v>909</v>
      </c>
      <c r="M82">
        <v>60</v>
      </c>
      <c r="N82">
        <v>0</v>
      </c>
      <c r="O82" s="6" t="s">
        <v>920</v>
      </c>
    </row>
    <row r="83" spans="1:15" x14ac:dyDescent="0.3">
      <c r="A83">
        <v>1060</v>
      </c>
      <c r="B83" s="6" t="s">
        <v>12</v>
      </c>
      <c r="C83">
        <v>19</v>
      </c>
      <c r="D83" s="6" t="s">
        <v>24</v>
      </c>
      <c r="E83" s="6" t="s">
        <v>167</v>
      </c>
      <c r="F83" s="6" t="s">
        <v>827</v>
      </c>
      <c r="G83">
        <v>1</v>
      </c>
      <c r="H83" s="6" t="s">
        <v>908</v>
      </c>
      <c r="I83" s="5">
        <v>45307</v>
      </c>
      <c r="J83" s="5">
        <v>45367</v>
      </c>
      <c r="K83" s="6" t="s">
        <v>40</v>
      </c>
      <c r="L83" s="6" t="s">
        <v>910</v>
      </c>
      <c r="M83">
        <v>60</v>
      </c>
      <c r="N83">
        <v>1</v>
      </c>
      <c r="O83" s="6" t="s">
        <v>920</v>
      </c>
    </row>
    <row r="84" spans="1:15" x14ac:dyDescent="0.3">
      <c r="A84">
        <v>1067</v>
      </c>
      <c r="B84" s="6" t="s">
        <v>163</v>
      </c>
      <c r="C84">
        <v>21</v>
      </c>
      <c r="D84" s="6" t="s">
        <v>55</v>
      </c>
      <c r="E84" s="6" t="s">
        <v>84</v>
      </c>
      <c r="F84" s="6" t="s">
        <v>771</v>
      </c>
      <c r="G84">
        <v>5</v>
      </c>
      <c r="H84" s="6" t="s">
        <v>28</v>
      </c>
      <c r="I84" s="5">
        <v>45323</v>
      </c>
      <c r="J84" s="5">
        <v>45379</v>
      </c>
      <c r="K84" s="6" t="s">
        <v>20</v>
      </c>
      <c r="L84" s="6" t="s">
        <v>913</v>
      </c>
      <c r="M84">
        <v>56</v>
      </c>
      <c r="N84">
        <v>0</v>
      </c>
      <c r="O84" s="6" t="s">
        <v>920</v>
      </c>
    </row>
    <row r="85" spans="1:15" x14ac:dyDescent="0.3">
      <c r="A85">
        <v>1419</v>
      </c>
      <c r="B85" s="6" t="s">
        <v>117</v>
      </c>
      <c r="C85">
        <v>21</v>
      </c>
      <c r="D85" s="6" t="s">
        <v>55</v>
      </c>
      <c r="E85" s="6" t="s">
        <v>84</v>
      </c>
      <c r="F85" s="6" t="s">
        <v>818</v>
      </c>
      <c r="G85">
        <v>2</v>
      </c>
      <c r="H85" s="6" t="s">
        <v>17</v>
      </c>
      <c r="I85" s="5">
        <v>45457</v>
      </c>
      <c r="J85" s="5">
        <v>45401</v>
      </c>
      <c r="K85" s="6" t="s">
        <v>20</v>
      </c>
      <c r="L85" s="6" t="s">
        <v>913</v>
      </c>
      <c r="M85">
        <v>56</v>
      </c>
      <c r="N85">
        <v>0</v>
      </c>
      <c r="O85" s="6" t="s">
        <v>920</v>
      </c>
    </row>
    <row r="86" spans="1:15" x14ac:dyDescent="0.3">
      <c r="A86">
        <v>1490</v>
      </c>
      <c r="B86" s="6" t="s">
        <v>1022</v>
      </c>
      <c r="C86">
        <v>24</v>
      </c>
      <c r="D86" s="6" t="s">
        <v>55</v>
      </c>
      <c r="E86" s="6" t="s">
        <v>84</v>
      </c>
      <c r="F86" s="6" t="s">
        <v>869</v>
      </c>
      <c r="G86">
        <v>4</v>
      </c>
      <c r="H86" s="6" t="s">
        <v>28</v>
      </c>
      <c r="I86" s="5">
        <v>45438</v>
      </c>
      <c r="J86" s="5">
        <v>45383</v>
      </c>
      <c r="K86" s="6" t="s">
        <v>40</v>
      </c>
      <c r="L86" s="6" t="s">
        <v>913</v>
      </c>
      <c r="M86">
        <v>55</v>
      </c>
      <c r="N86">
        <v>1</v>
      </c>
      <c r="O86" s="6" t="s">
        <v>920</v>
      </c>
    </row>
    <row r="87" spans="1:15" x14ac:dyDescent="0.3">
      <c r="A87">
        <v>1097</v>
      </c>
      <c r="B87" s="6" t="s">
        <v>22</v>
      </c>
      <c r="C87">
        <v>18</v>
      </c>
      <c r="D87" s="6" t="s">
        <v>55</v>
      </c>
      <c r="E87" s="6" t="s">
        <v>84</v>
      </c>
      <c r="F87" s="6" t="s">
        <v>890</v>
      </c>
      <c r="G87">
        <v>4</v>
      </c>
      <c r="H87" s="6" t="s">
        <v>908</v>
      </c>
      <c r="I87" s="5">
        <v>45462</v>
      </c>
      <c r="J87" s="5">
        <v>45407</v>
      </c>
      <c r="K87" s="6" t="s">
        <v>40</v>
      </c>
      <c r="L87" s="6" t="s">
        <v>1021</v>
      </c>
      <c r="M87">
        <v>55</v>
      </c>
      <c r="N87">
        <v>1</v>
      </c>
      <c r="O87" s="6" t="s">
        <v>920</v>
      </c>
    </row>
    <row r="88" spans="1:15" x14ac:dyDescent="0.3">
      <c r="A88">
        <v>1447</v>
      </c>
      <c r="B88" s="6" t="s">
        <v>22</v>
      </c>
      <c r="C88">
        <v>22</v>
      </c>
      <c r="D88" s="6" t="s">
        <v>24</v>
      </c>
      <c r="E88" s="6" t="s">
        <v>25</v>
      </c>
      <c r="F88" s="6" t="s">
        <v>853</v>
      </c>
      <c r="G88">
        <v>5</v>
      </c>
      <c r="H88" s="6" t="s">
        <v>908</v>
      </c>
      <c r="I88" s="5">
        <v>45378</v>
      </c>
      <c r="J88" s="5">
        <v>45326</v>
      </c>
      <c r="K88" s="6" t="s">
        <v>69</v>
      </c>
      <c r="L88" s="6" t="s">
        <v>911</v>
      </c>
      <c r="M88">
        <v>52</v>
      </c>
      <c r="N88">
        <v>0</v>
      </c>
      <c r="O88" s="6" t="s">
        <v>920</v>
      </c>
    </row>
    <row r="89" spans="1:15" x14ac:dyDescent="0.3">
      <c r="A89">
        <v>1455</v>
      </c>
      <c r="B89" s="6" t="s">
        <v>74</v>
      </c>
      <c r="C89">
        <v>25</v>
      </c>
      <c r="D89" s="6" t="s">
        <v>55</v>
      </c>
      <c r="E89" s="6" t="s">
        <v>156</v>
      </c>
      <c r="F89" s="6" t="s">
        <v>746</v>
      </c>
      <c r="G89">
        <v>1</v>
      </c>
      <c r="H89" s="6" t="s">
        <v>28</v>
      </c>
      <c r="I89" s="5">
        <v>45399</v>
      </c>
      <c r="J89" s="5">
        <v>45348</v>
      </c>
      <c r="K89" s="6" t="s">
        <v>20</v>
      </c>
      <c r="L89" s="6" t="s">
        <v>909</v>
      </c>
      <c r="M89">
        <v>51</v>
      </c>
      <c r="N89">
        <v>0</v>
      </c>
      <c r="O89" s="6" t="s">
        <v>920</v>
      </c>
    </row>
    <row r="90" spans="1:15" x14ac:dyDescent="0.3">
      <c r="A90">
        <v>1149</v>
      </c>
      <c r="B90" s="6" t="s">
        <v>136</v>
      </c>
      <c r="C90">
        <v>22</v>
      </c>
      <c r="D90" s="6" t="s">
        <v>55</v>
      </c>
      <c r="E90" s="6" t="s">
        <v>25</v>
      </c>
      <c r="F90" s="6" t="s">
        <v>773</v>
      </c>
      <c r="G90">
        <v>5</v>
      </c>
      <c r="H90" s="6" t="s">
        <v>17</v>
      </c>
      <c r="I90" s="5">
        <v>45386</v>
      </c>
      <c r="J90" s="5">
        <v>45337</v>
      </c>
      <c r="K90" s="6" t="s">
        <v>69</v>
      </c>
      <c r="L90" s="6" t="s">
        <v>910</v>
      </c>
      <c r="M90">
        <v>49</v>
      </c>
      <c r="N90">
        <v>0</v>
      </c>
      <c r="O90" s="6" t="s">
        <v>920</v>
      </c>
    </row>
    <row r="91" spans="1:15" x14ac:dyDescent="0.3">
      <c r="A91">
        <v>1040</v>
      </c>
      <c r="B91" s="6" t="s">
        <v>1022</v>
      </c>
      <c r="C91">
        <v>21</v>
      </c>
      <c r="D91" s="6" t="s">
        <v>55</v>
      </c>
      <c r="E91" s="6" t="s">
        <v>84</v>
      </c>
      <c r="F91" s="6" t="s">
        <v>863</v>
      </c>
      <c r="G91">
        <v>4</v>
      </c>
      <c r="H91" s="6" t="s">
        <v>28</v>
      </c>
      <c r="I91" s="5">
        <v>45404</v>
      </c>
      <c r="J91" s="5">
        <v>45355</v>
      </c>
      <c r="K91" s="6" t="s">
        <v>40</v>
      </c>
      <c r="L91" s="6" t="s">
        <v>913</v>
      </c>
      <c r="M91">
        <v>49</v>
      </c>
      <c r="N91">
        <v>1</v>
      </c>
      <c r="O91" s="6" t="s">
        <v>920</v>
      </c>
    </row>
    <row r="92" spans="1:15" x14ac:dyDescent="0.3">
      <c r="A92">
        <v>1133</v>
      </c>
      <c r="B92" s="6" t="s">
        <v>12</v>
      </c>
      <c r="C92">
        <v>19</v>
      </c>
      <c r="D92" s="6" t="s">
        <v>55</v>
      </c>
      <c r="E92" s="6" t="s">
        <v>156</v>
      </c>
      <c r="F92" s="6" t="s">
        <v>806</v>
      </c>
      <c r="G92">
        <v>1</v>
      </c>
      <c r="H92" s="6" t="s">
        <v>17</v>
      </c>
      <c r="I92" s="5">
        <v>45365</v>
      </c>
      <c r="J92" s="5">
        <v>45317</v>
      </c>
      <c r="K92" s="6" t="s">
        <v>914</v>
      </c>
      <c r="L92" s="6" t="s">
        <v>909</v>
      </c>
      <c r="M92">
        <v>48</v>
      </c>
      <c r="N92">
        <v>0</v>
      </c>
      <c r="O92" s="6" t="s">
        <v>920</v>
      </c>
    </row>
    <row r="93" spans="1:15" x14ac:dyDescent="0.3">
      <c r="A93">
        <v>1250</v>
      </c>
      <c r="B93" s="6" t="s">
        <v>47</v>
      </c>
      <c r="C93">
        <v>21</v>
      </c>
      <c r="D93" s="6" t="s">
        <v>24</v>
      </c>
      <c r="E93" s="6" t="s">
        <v>25</v>
      </c>
      <c r="F93" s="6" t="s">
        <v>852</v>
      </c>
      <c r="G93">
        <v>3</v>
      </c>
      <c r="H93" s="6" t="s">
        <v>17</v>
      </c>
      <c r="I93" s="5">
        <v>45312</v>
      </c>
      <c r="J93" s="5">
        <v>45357</v>
      </c>
      <c r="K93" s="6" t="s">
        <v>69</v>
      </c>
      <c r="L93" s="6" t="s">
        <v>910</v>
      </c>
      <c r="M93">
        <v>45</v>
      </c>
      <c r="N93">
        <v>0</v>
      </c>
      <c r="O93" s="6" t="s">
        <v>920</v>
      </c>
    </row>
    <row r="94" spans="1:15" x14ac:dyDescent="0.3">
      <c r="A94">
        <v>1183</v>
      </c>
      <c r="B94" s="6" t="s">
        <v>163</v>
      </c>
      <c r="C94">
        <v>21</v>
      </c>
      <c r="D94" s="6" t="s">
        <v>659</v>
      </c>
      <c r="E94" s="6" t="s">
        <v>84</v>
      </c>
      <c r="F94" s="6" t="s">
        <v>751</v>
      </c>
      <c r="G94">
        <v>5</v>
      </c>
      <c r="H94" s="6" t="s">
        <v>28</v>
      </c>
      <c r="I94" s="5">
        <v>45405</v>
      </c>
      <c r="J94" s="5">
        <v>45361</v>
      </c>
      <c r="K94" s="6" t="s">
        <v>20</v>
      </c>
      <c r="L94" s="6" t="s">
        <v>1021</v>
      </c>
      <c r="M94">
        <v>44</v>
      </c>
      <c r="N94">
        <v>0</v>
      </c>
      <c r="O94" s="6" t="s">
        <v>920</v>
      </c>
    </row>
    <row r="95" spans="1:15" x14ac:dyDescent="0.3">
      <c r="A95">
        <v>1438</v>
      </c>
      <c r="B95" s="6" t="s">
        <v>12</v>
      </c>
      <c r="C95">
        <v>19</v>
      </c>
      <c r="D95" s="6" t="s">
        <v>659</v>
      </c>
      <c r="E95" s="6" t="s">
        <v>84</v>
      </c>
      <c r="F95" s="6" t="s">
        <v>902</v>
      </c>
      <c r="G95">
        <v>3</v>
      </c>
      <c r="H95" s="6" t="s">
        <v>17</v>
      </c>
      <c r="I95" s="5">
        <v>45465</v>
      </c>
      <c r="J95" s="5">
        <v>45509</v>
      </c>
      <c r="K95" s="6" t="s">
        <v>40</v>
      </c>
      <c r="L95" s="6" t="s">
        <v>910</v>
      </c>
      <c r="M95">
        <v>44</v>
      </c>
      <c r="N95">
        <v>1</v>
      </c>
      <c r="O95" s="6" t="s">
        <v>920</v>
      </c>
    </row>
    <row r="96" spans="1:15" x14ac:dyDescent="0.3">
      <c r="A96">
        <v>1018</v>
      </c>
      <c r="B96" s="6" t="s">
        <v>1023</v>
      </c>
      <c r="C96">
        <v>21</v>
      </c>
      <c r="D96" s="6" t="s">
        <v>659</v>
      </c>
      <c r="E96" s="6" t="s">
        <v>25</v>
      </c>
      <c r="F96" s="6" t="s">
        <v>758</v>
      </c>
      <c r="G96">
        <v>5</v>
      </c>
      <c r="H96" s="6" t="s">
        <v>28</v>
      </c>
      <c r="I96" s="5">
        <v>45431</v>
      </c>
      <c r="J96" s="5">
        <v>45388</v>
      </c>
      <c r="K96" s="6" t="s">
        <v>40</v>
      </c>
      <c r="L96" s="6" t="s">
        <v>909</v>
      </c>
      <c r="M96">
        <v>43</v>
      </c>
      <c r="N96">
        <v>1</v>
      </c>
      <c r="O96" s="6" t="s">
        <v>920</v>
      </c>
    </row>
    <row r="97" spans="1:15" x14ac:dyDescent="0.3">
      <c r="A97">
        <v>1001</v>
      </c>
      <c r="B97" s="6" t="s">
        <v>74</v>
      </c>
      <c r="C97">
        <v>25</v>
      </c>
      <c r="D97" s="6" t="s">
        <v>659</v>
      </c>
      <c r="E97" s="6" t="s">
        <v>167</v>
      </c>
      <c r="F97" s="6" t="s">
        <v>760</v>
      </c>
      <c r="G97">
        <v>4</v>
      </c>
      <c r="H97" s="6" t="s">
        <v>28</v>
      </c>
      <c r="I97" s="5">
        <v>45354</v>
      </c>
      <c r="J97" s="5">
        <v>45397</v>
      </c>
      <c r="K97" s="6" t="s">
        <v>40</v>
      </c>
      <c r="L97" s="6" t="s">
        <v>1021</v>
      </c>
      <c r="M97">
        <v>43</v>
      </c>
      <c r="N97">
        <v>1</v>
      </c>
      <c r="O97" s="6" t="s">
        <v>920</v>
      </c>
    </row>
    <row r="98" spans="1:15" x14ac:dyDescent="0.3">
      <c r="A98">
        <v>1473</v>
      </c>
      <c r="B98" s="6" t="s">
        <v>163</v>
      </c>
      <c r="C98">
        <v>19</v>
      </c>
      <c r="D98" s="6" t="s">
        <v>659</v>
      </c>
      <c r="E98" s="6" t="s">
        <v>84</v>
      </c>
      <c r="F98" s="6" t="s">
        <v>774</v>
      </c>
      <c r="G98">
        <v>0</v>
      </c>
      <c r="H98" s="6" t="s">
        <v>908</v>
      </c>
      <c r="I98" s="5">
        <v>45392</v>
      </c>
      <c r="J98" s="5">
        <v>45349</v>
      </c>
      <c r="K98" s="6" t="s">
        <v>914</v>
      </c>
      <c r="L98" s="6" t="s">
        <v>909</v>
      </c>
      <c r="M98">
        <v>43</v>
      </c>
      <c r="N98">
        <v>0</v>
      </c>
      <c r="O98" s="6" t="s">
        <v>920</v>
      </c>
    </row>
    <row r="99" spans="1:15" x14ac:dyDescent="0.3">
      <c r="A99">
        <v>1472</v>
      </c>
      <c r="B99" s="6" t="s">
        <v>22</v>
      </c>
      <c r="C99">
        <v>22</v>
      </c>
      <c r="D99" s="6" t="s">
        <v>659</v>
      </c>
      <c r="E99" s="6" t="s">
        <v>84</v>
      </c>
      <c r="F99" s="6" t="s">
        <v>850</v>
      </c>
      <c r="G99">
        <v>4</v>
      </c>
      <c r="H99" s="6" t="s">
        <v>908</v>
      </c>
      <c r="I99" s="5">
        <v>45324</v>
      </c>
      <c r="J99" s="5">
        <v>45366</v>
      </c>
      <c r="K99" s="6" t="s">
        <v>20</v>
      </c>
      <c r="L99" s="6" t="s">
        <v>1021</v>
      </c>
      <c r="M99">
        <v>42</v>
      </c>
      <c r="N99">
        <v>0</v>
      </c>
      <c r="O99" s="6" t="s">
        <v>920</v>
      </c>
    </row>
    <row r="100" spans="1:15" x14ac:dyDescent="0.3">
      <c r="A100">
        <v>1224</v>
      </c>
      <c r="B100" s="6" t="s">
        <v>74</v>
      </c>
      <c r="C100">
        <v>21</v>
      </c>
      <c r="D100" s="6" t="s">
        <v>55</v>
      </c>
      <c r="E100" s="6" t="s">
        <v>25</v>
      </c>
      <c r="F100" s="6" t="s">
        <v>678</v>
      </c>
      <c r="G100">
        <v>1</v>
      </c>
      <c r="H100" s="6" t="s">
        <v>908</v>
      </c>
      <c r="I100" s="5">
        <v>45406</v>
      </c>
      <c r="J100" s="5">
        <v>45447</v>
      </c>
      <c r="K100" s="6" t="s">
        <v>914</v>
      </c>
      <c r="L100" s="6" t="s">
        <v>910</v>
      </c>
      <c r="M100">
        <v>41</v>
      </c>
      <c r="N100">
        <v>0</v>
      </c>
      <c r="O100" s="6" t="s">
        <v>920</v>
      </c>
    </row>
    <row r="101" spans="1:15" x14ac:dyDescent="0.3">
      <c r="A101">
        <v>1039</v>
      </c>
      <c r="B101" s="6" t="s">
        <v>12</v>
      </c>
      <c r="C101">
        <v>19</v>
      </c>
      <c r="D101" s="6" t="s">
        <v>659</v>
      </c>
      <c r="E101" s="6" t="s">
        <v>25</v>
      </c>
      <c r="F101" s="6" t="s">
        <v>693</v>
      </c>
      <c r="G101">
        <v>4</v>
      </c>
      <c r="H101" s="6" t="s">
        <v>908</v>
      </c>
      <c r="I101" s="5">
        <v>45440</v>
      </c>
      <c r="J101" s="5">
        <v>45400</v>
      </c>
      <c r="K101" s="6" t="s">
        <v>69</v>
      </c>
      <c r="L101" s="6" t="s">
        <v>1021</v>
      </c>
      <c r="M101">
        <v>40</v>
      </c>
      <c r="N101">
        <v>0</v>
      </c>
      <c r="O101" s="6" t="s">
        <v>920</v>
      </c>
    </row>
    <row r="102" spans="1:15" x14ac:dyDescent="0.3">
      <c r="A102">
        <v>1198</v>
      </c>
      <c r="B102" s="6" t="s">
        <v>117</v>
      </c>
      <c r="C102">
        <v>22</v>
      </c>
      <c r="D102" s="6" t="s">
        <v>55</v>
      </c>
      <c r="E102" s="6" t="s">
        <v>156</v>
      </c>
      <c r="F102" s="6" t="s">
        <v>862</v>
      </c>
      <c r="G102">
        <v>1</v>
      </c>
      <c r="H102" s="6" t="s">
        <v>908</v>
      </c>
      <c r="I102" s="5">
        <v>45344</v>
      </c>
      <c r="J102" s="5">
        <v>45383</v>
      </c>
      <c r="K102" s="6" t="s">
        <v>20</v>
      </c>
      <c r="L102" s="6" t="s">
        <v>910</v>
      </c>
      <c r="M102">
        <v>39</v>
      </c>
      <c r="N102">
        <v>0</v>
      </c>
      <c r="O102" s="6" t="s">
        <v>920</v>
      </c>
    </row>
    <row r="103" spans="1:15" x14ac:dyDescent="0.3">
      <c r="A103">
        <v>1106</v>
      </c>
      <c r="B103" s="6" t="s">
        <v>47</v>
      </c>
      <c r="C103">
        <v>21</v>
      </c>
      <c r="D103" s="6" t="s">
        <v>24</v>
      </c>
      <c r="E103" s="6" t="s">
        <v>84</v>
      </c>
      <c r="F103" s="6" t="s">
        <v>716</v>
      </c>
      <c r="G103">
        <v>5</v>
      </c>
      <c r="H103" s="6" t="s">
        <v>908</v>
      </c>
      <c r="I103" s="5">
        <v>45386</v>
      </c>
      <c r="J103" s="5">
        <v>45348</v>
      </c>
      <c r="K103" s="6" t="s">
        <v>20</v>
      </c>
      <c r="L103" s="6" t="s">
        <v>910</v>
      </c>
      <c r="M103">
        <v>38</v>
      </c>
      <c r="N103">
        <v>0</v>
      </c>
      <c r="O103" s="6" t="s">
        <v>920</v>
      </c>
    </row>
    <row r="104" spans="1:15" x14ac:dyDescent="0.3">
      <c r="A104">
        <v>1390</v>
      </c>
      <c r="B104" s="6" t="s">
        <v>47</v>
      </c>
      <c r="C104">
        <v>25</v>
      </c>
      <c r="D104" s="6" t="s">
        <v>24</v>
      </c>
      <c r="E104" s="6" t="s">
        <v>84</v>
      </c>
      <c r="F104" s="6" t="s">
        <v>739</v>
      </c>
      <c r="G104">
        <v>5</v>
      </c>
      <c r="H104" s="6" t="s">
        <v>908</v>
      </c>
      <c r="I104" s="5">
        <v>45357</v>
      </c>
      <c r="J104" s="5">
        <v>45319</v>
      </c>
      <c r="K104" s="6" t="s">
        <v>40</v>
      </c>
      <c r="L104" s="6" t="s">
        <v>911</v>
      </c>
      <c r="M104">
        <v>38</v>
      </c>
      <c r="N104">
        <v>1</v>
      </c>
      <c r="O104" s="6" t="s">
        <v>920</v>
      </c>
    </row>
    <row r="105" spans="1:15" x14ac:dyDescent="0.3">
      <c r="A105">
        <v>1103</v>
      </c>
      <c r="B105" s="6" t="s">
        <v>117</v>
      </c>
      <c r="C105">
        <v>23</v>
      </c>
      <c r="D105" s="6" t="s">
        <v>24</v>
      </c>
      <c r="E105" s="6" t="s">
        <v>156</v>
      </c>
      <c r="F105" s="6" t="s">
        <v>775</v>
      </c>
      <c r="G105">
        <v>5</v>
      </c>
      <c r="H105" s="6" t="s">
        <v>76</v>
      </c>
      <c r="I105" s="5">
        <v>45413</v>
      </c>
      <c r="J105" s="5">
        <v>45375</v>
      </c>
      <c r="K105" s="6" t="s">
        <v>40</v>
      </c>
      <c r="L105" s="6" t="s">
        <v>913</v>
      </c>
      <c r="M105">
        <v>38</v>
      </c>
      <c r="N105">
        <v>1</v>
      </c>
      <c r="O105" s="6" t="s">
        <v>920</v>
      </c>
    </row>
    <row r="106" spans="1:15" x14ac:dyDescent="0.3">
      <c r="A106">
        <v>1113</v>
      </c>
      <c r="B106" s="6" t="s">
        <v>47</v>
      </c>
      <c r="C106">
        <v>18</v>
      </c>
      <c r="D106" s="6" t="s">
        <v>24</v>
      </c>
      <c r="E106" s="6" t="s">
        <v>25</v>
      </c>
      <c r="F106" s="6" t="s">
        <v>672</v>
      </c>
      <c r="G106">
        <v>1</v>
      </c>
      <c r="H106" s="6" t="s">
        <v>908</v>
      </c>
      <c r="I106" s="5">
        <v>45344</v>
      </c>
      <c r="J106" s="5">
        <v>45309</v>
      </c>
      <c r="K106" s="6" t="s">
        <v>69</v>
      </c>
      <c r="L106" s="6" t="s">
        <v>911</v>
      </c>
      <c r="M106">
        <v>35</v>
      </c>
      <c r="N106">
        <v>0</v>
      </c>
      <c r="O106" s="6" t="s">
        <v>920</v>
      </c>
    </row>
    <row r="107" spans="1:15" x14ac:dyDescent="0.3">
      <c r="A107">
        <v>1372</v>
      </c>
      <c r="B107" s="6" t="s">
        <v>1022</v>
      </c>
      <c r="C107">
        <v>21</v>
      </c>
      <c r="D107" s="6" t="s">
        <v>24</v>
      </c>
      <c r="E107" s="6" t="s">
        <v>25</v>
      </c>
      <c r="F107" s="6" t="s">
        <v>851</v>
      </c>
      <c r="G107">
        <v>2</v>
      </c>
      <c r="H107" s="6" t="s">
        <v>908</v>
      </c>
      <c r="I107" s="5">
        <v>45343</v>
      </c>
      <c r="J107" s="5">
        <v>45308</v>
      </c>
      <c r="K107" s="6" t="s">
        <v>40</v>
      </c>
      <c r="L107" s="6" t="s">
        <v>1021</v>
      </c>
      <c r="M107">
        <v>35</v>
      </c>
      <c r="N107">
        <v>1</v>
      </c>
      <c r="O107" s="6" t="s">
        <v>920</v>
      </c>
    </row>
    <row r="108" spans="1:15" x14ac:dyDescent="0.3">
      <c r="A108">
        <v>1205</v>
      </c>
      <c r="B108" s="6" t="s">
        <v>155</v>
      </c>
      <c r="C108">
        <v>22</v>
      </c>
      <c r="D108" s="6" t="s">
        <v>55</v>
      </c>
      <c r="E108" s="6" t="s">
        <v>84</v>
      </c>
      <c r="F108" s="6" t="s">
        <v>724</v>
      </c>
      <c r="G108">
        <v>5</v>
      </c>
      <c r="H108" s="6" t="s">
        <v>17</v>
      </c>
      <c r="I108" s="5">
        <v>45372</v>
      </c>
      <c r="J108" s="5">
        <v>45339</v>
      </c>
      <c r="K108" s="6" t="s">
        <v>40</v>
      </c>
      <c r="L108" s="6" t="s">
        <v>911</v>
      </c>
      <c r="M108">
        <v>33</v>
      </c>
      <c r="N108">
        <v>1</v>
      </c>
      <c r="O108" s="6" t="s">
        <v>920</v>
      </c>
    </row>
    <row r="109" spans="1:15" x14ac:dyDescent="0.3">
      <c r="A109">
        <v>1129</v>
      </c>
      <c r="B109" s="6" t="s">
        <v>1023</v>
      </c>
      <c r="C109">
        <v>21</v>
      </c>
      <c r="D109" s="6" t="s">
        <v>24</v>
      </c>
      <c r="E109" s="6" t="s">
        <v>156</v>
      </c>
      <c r="F109" s="6" t="s">
        <v>747</v>
      </c>
      <c r="G109">
        <v>1</v>
      </c>
      <c r="H109" s="6" t="s">
        <v>76</v>
      </c>
      <c r="I109" s="5">
        <v>45406</v>
      </c>
      <c r="J109" s="5">
        <v>45439</v>
      </c>
      <c r="K109" s="6" t="s">
        <v>40</v>
      </c>
      <c r="L109" s="6" t="s">
        <v>911</v>
      </c>
      <c r="M109">
        <v>33</v>
      </c>
      <c r="N109">
        <v>1</v>
      </c>
      <c r="O109" s="6" t="s">
        <v>920</v>
      </c>
    </row>
    <row r="110" spans="1:15" x14ac:dyDescent="0.3">
      <c r="A110">
        <v>1153</v>
      </c>
      <c r="B110" s="6" t="s">
        <v>163</v>
      </c>
      <c r="C110">
        <v>21</v>
      </c>
      <c r="D110" s="6" t="s">
        <v>55</v>
      </c>
      <c r="E110" s="6" t="s">
        <v>167</v>
      </c>
      <c r="F110" s="6" t="s">
        <v>868</v>
      </c>
      <c r="G110">
        <v>1</v>
      </c>
      <c r="H110" s="6" t="s">
        <v>17</v>
      </c>
      <c r="I110" s="5">
        <v>45390</v>
      </c>
      <c r="J110" s="5">
        <v>45357</v>
      </c>
      <c r="K110" s="6" t="s">
        <v>914</v>
      </c>
      <c r="L110" s="6" t="s">
        <v>913</v>
      </c>
      <c r="M110">
        <v>33</v>
      </c>
      <c r="N110">
        <v>0</v>
      </c>
      <c r="O110" s="6" t="s">
        <v>920</v>
      </c>
    </row>
    <row r="111" spans="1:15" x14ac:dyDescent="0.3">
      <c r="A111">
        <v>1353</v>
      </c>
      <c r="B111" s="6" t="s">
        <v>22</v>
      </c>
      <c r="C111">
        <v>19</v>
      </c>
      <c r="D111" s="6" t="s">
        <v>24</v>
      </c>
      <c r="E111" s="6" t="s">
        <v>84</v>
      </c>
      <c r="F111" s="6" t="s">
        <v>706</v>
      </c>
      <c r="G111">
        <v>3</v>
      </c>
      <c r="H111" s="6" t="s">
        <v>17</v>
      </c>
      <c r="I111" s="5">
        <v>45295</v>
      </c>
      <c r="J111" s="5">
        <v>45327</v>
      </c>
      <c r="K111" s="6" t="s">
        <v>40</v>
      </c>
      <c r="L111" s="6" t="s">
        <v>911</v>
      </c>
      <c r="M111">
        <v>32</v>
      </c>
      <c r="N111">
        <v>1</v>
      </c>
      <c r="O111" s="6" t="s">
        <v>920</v>
      </c>
    </row>
    <row r="112" spans="1:15" x14ac:dyDescent="0.3">
      <c r="A112">
        <v>1064</v>
      </c>
      <c r="B112" s="6" t="s">
        <v>163</v>
      </c>
      <c r="C112">
        <v>22</v>
      </c>
      <c r="D112" s="6" t="s">
        <v>659</v>
      </c>
      <c r="E112" s="6" t="s">
        <v>25</v>
      </c>
      <c r="F112" s="6" t="s">
        <v>718</v>
      </c>
      <c r="G112">
        <v>3</v>
      </c>
      <c r="H112" s="6" t="s">
        <v>76</v>
      </c>
      <c r="I112" s="5">
        <v>45444</v>
      </c>
      <c r="J112" s="5">
        <v>45476</v>
      </c>
      <c r="K112" s="6" t="s">
        <v>40</v>
      </c>
      <c r="L112" s="6" t="s">
        <v>910</v>
      </c>
      <c r="M112">
        <v>32</v>
      </c>
      <c r="N112">
        <v>1</v>
      </c>
      <c r="O112" s="6" t="s">
        <v>920</v>
      </c>
    </row>
    <row r="113" spans="1:15" x14ac:dyDescent="0.3">
      <c r="A113">
        <v>1077</v>
      </c>
      <c r="B113" s="6" t="s">
        <v>1022</v>
      </c>
      <c r="C113">
        <v>25</v>
      </c>
      <c r="D113" s="6" t="s">
        <v>24</v>
      </c>
      <c r="E113" s="6" t="s">
        <v>156</v>
      </c>
      <c r="F113" s="6" t="s">
        <v>856</v>
      </c>
      <c r="G113">
        <v>3</v>
      </c>
      <c r="H113" s="6" t="s">
        <v>28</v>
      </c>
      <c r="I113" s="5">
        <v>45385</v>
      </c>
      <c r="J113" s="5">
        <v>45354</v>
      </c>
      <c r="K113" s="6" t="s">
        <v>20</v>
      </c>
      <c r="L113" s="6" t="s">
        <v>1021</v>
      </c>
      <c r="M113">
        <v>31</v>
      </c>
      <c r="N113">
        <v>0</v>
      </c>
      <c r="O113" s="6" t="s">
        <v>920</v>
      </c>
    </row>
    <row r="114" spans="1:15" x14ac:dyDescent="0.3">
      <c r="A114">
        <v>1008</v>
      </c>
      <c r="B114" s="6" t="s">
        <v>12</v>
      </c>
      <c r="C114">
        <v>21</v>
      </c>
      <c r="D114" s="6" t="s">
        <v>24</v>
      </c>
      <c r="E114" s="6" t="s">
        <v>156</v>
      </c>
      <c r="F114" s="6" t="s">
        <v>857</v>
      </c>
      <c r="G114">
        <v>2</v>
      </c>
      <c r="H114" s="6" t="s">
        <v>28</v>
      </c>
      <c r="I114" s="5">
        <v>45398</v>
      </c>
      <c r="J114" s="5">
        <v>45429</v>
      </c>
      <c r="K114" s="6" t="s">
        <v>40</v>
      </c>
      <c r="L114" s="6" t="s">
        <v>913</v>
      </c>
      <c r="M114">
        <v>31</v>
      </c>
      <c r="N114">
        <v>1</v>
      </c>
      <c r="O114" s="6" t="s">
        <v>920</v>
      </c>
    </row>
    <row r="115" spans="1:15" x14ac:dyDescent="0.3">
      <c r="A115">
        <v>1230</v>
      </c>
      <c r="B115" s="6" t="s">
        <v>12</v>
      </c>
      <c r="C115">
        <v>21</v>
      </c>
      <c r="D115" s="6" t="s">
        <v>55</v>
      </c>
      <c r="E115" s="6" t="s">
        <v>25</v>
      </c>
      <c r="F115" s="6" t="s">
        <v>663</v>
      </c>
      <c r="G115">
        <v>5</v>
      </c>
      <c r="H115" s="6" t="s">
        <v>17</v>
      </c>
      <c r="I115" s="5">
        <v>45370</v>
      </c>
      <c r="J115" s="5">
        <v>45399</v>
      </c>
      <c r="K115" s="6" t="s">
        <v>40</v>
      </c>
      <c r="L115" s="6" t="s">
        <v>911</v>
      </c>
      <c r="M115">
        <v>29</v>
      </c>
      <c r="N115">
        <v>1</v>
      </c>
      <c r="O115" s="6" t="s">
        <v>920</v>
      </c>
    </row>
    <row r="116" spans="1:15" x14ac:dyDescent="0.3">
      <c r="A116">
        <v>1259</v>
      </c>
      <c r="B116" s="6" t="s">
        <v>47</v>
      </c>
      <c r="C116">
        <v>23</v>
      </c>
      <c r="D116" s="6" t="s">
        <v>55</v>
      </c>
      <c r="E116" s="6" t="s">
        <v>25</v>
      </c>
      <c r="F116" s="6" t="s">
        <v>780</v>
      </c>
      <c r="G116">
        <v>1</v>
      </c>
      <c r="H116" s="6" t="s">
        <v>908</v>
      </c>
      <c r="I116" s="5">
        <v>45325</v>
      </c>
      <c r="J116" s="5">
        <v>45296</v>
      </c>
      <c r="K116" s="6" t="s">
        <v>20</v>
      </c>
      <c r="L116" s="6" t="s">
        <v>909</v>
      </c>
      <c r="M116">
        <v>29</v>
      </c>
      <c r="N116">
        <v>0</v>
      </c>
      <c r="O116" s="6" t="s">
        <v>920</v>
      </c>
    </row>
    <row r="117" spans="1:15" x14ac:dyDescent="0.3">
      <c r="A117">
        <v>1208</v>
      </c>
      <c r="B117" s="6" t="s">
        <v>47</v>
      </c>
      <c r="C117">
        <v>25</v>
      </c>
      <c r="D117" s="6" t="s">
        <v>659</v>
      </c>
      <c r="E117" s="6" t="s">
        <v>84</v>
      </c>
      <c r="F117" s="6" t="s">
        <v>738</v>
      </c>
      <c r="G117">
        <v>1</v>
      </c>
      <c r="H117" s="6" t="s">
        <v>28</v>
      </c>
      <c r="I117" s="5">
        <v>45342</v>
      </c>
      <c r="J117" s="5">
        <v>45369</v>
      </c>
      <c r="K117" s="6" t="s">
        <v>40</v>
      </c>
      <c r="L117" s="6" t="s">
        <v>913</v>
      </c>
      <c r="M117">
        <v>27</v>
      </c>
      <c r="N117">
        <v>1</v>
      </c>
      <c r="O117" s="6" t="s">
        <v>920</v>
      </c>
    </row>
    <row r="118" spans="1:15" x14ac:dyDescent="0.3">
      <c r="A118">
        <v>1056</v>
      </c>
      <c r="B118" s="6" t="s">
        <v>12</v>
      </c>
      <c r="C118">
        <v>22</v>
      </c>
      <c r="D118" s="6" t="s">
        <v>24</v>
      </c>
      <c r="E118" s="6" t="s">
        <v>25</v>
      </c>
      <c r="F118" s="6" t="s">
        <v>766</v>
      </c>
      <c r="G118">
        <v>5</v>
      </c>
      <c r="H118" s="6" t="s">
        <v>908</v>
      </c>
      <c r="I118" s="5">
        <v>45571</v>
      </c>
      <c r="J118" s="5">
        <v>45598</v>
      </c>
      <c r="K118" s="6" t="s">
        <v>40</v>
      </c>
      <c r="L118" s="6" t="s">
        <v>913</v>
      </c>
      <c r="M118">
        <v>27</v>
      </c>
      <c r="N118">
        <v>1</v>
      </c>
      <c r="O118" s="6" t="s">
        <v>920</v>
      </c>
    </row>
    <row r="119" spans="1:15" x14ac:dyDescent="0.3">
      <c r="A119">
        <v>1451</v>
      </c>
      <c r="B119" s="6" t="s">
        <v>22</v>
      </c>
      <c r="C119">
        <v>25</v>
      </c>
      <c r="D119" s="6" t="s">
        <v>659</v>
      </c>
      <c r="E119" s="6" t="s">
        <v>156</v>
      </c>
      <c r="F119" s="6" t="s">
        <v>690</v>
      </c>
      <c r="G119">
        <v>4</v>
      </c>
      <c r="H119" s="6" t="s">
        <v>28</v>
      </c>
      <c r="I119" s="5">
        <v>45427</v>
      </c>
      <c r="J119" s="5">
        <v>45401</v>
      </c>
      <c r="K119" s="6" t="s">
        <v>40</v>
      </c>
      <c r="L119" s="6" t="s">
        <v>1021</v>
      </c>
      <c r="M119">
        <v>26</v>
      </c>
      <c r="N119">
        <v>1</v>
      </c>
      <c r="O119" s="6" t="s">
        <v>920</v>
      </c>
    </row>
    <row r="120" spans="1:15" x14ac:dyDescent="0.3">
      <c r="A120">
        <v>1116</v>
      </c>
      <c r="B120" s="6" t="s">
        <v>12</v>
      </c>
      <c r="C120">
        <v>22</v>
      </c>
      <c r="D120" s="6" t="s">
        <v>55</v>
      </c>
      <c r="E120" s="6" t="s">
        <v>25</v>
      </c>
      <c r="F120" s="6" t="s">
        <v>800</v>
      </c>
      <c r="G120">
        <v>5</v>
      </c>
      <c r="H120" s="6" t="s">
        <v>17</v>
      </c>
      <c r="I120" s="5">
        <v>45433</v>
      </c>
      <c r="J120" s="5">
        <v>45407</v>
      </c>
      <c r="K120" s="6" t="s">
        <v>914</v>
      </c>
      <c r="L120" s="6" t="s">
        <v>911</v>
      </c>
      <c r="M120">
        <v>26</v>
      </c>
      <c r="N120">
        <v>0</v>
      </c>
      <c r="O120" s="6" t="s">
        <v>920</v>
      </c>
    </row>
    <row r="121" spans="1:15" x14ac:dyDescent="0.3">
      <c r="A121">
        <v>1418</v>
      </c>
      <c r="B121" s="6" t="s">
        <v>117</v>
      </c>
      <c r="C121">
        <v>19</v>
      </c>
      <c r="D121" s="6" t="s">
        <v>55</v>
      </c>
      <c r="E121" s="6" t="s">
        <v>84</v>
      </c>
      <c r="F121" s="6" t="s">
        <v>720</v>
      </c>
      <c r="G121">
        <v>5</v>
      </c>
      <c r="H121" s="6" t="s">
        <v>28</v>
      </c>
      <c r="I121" s="5">
        <v>45427</v>
      </c>
      <c r="J121" s="5">
        <v>45402</v>
      </c>
      <c r="K121" s="6" t="s">
        <v>20</v>
      </c>
      <c r="L121" s="6" t="s">
        <v>909</v>
      </c>
      <c r="M121">
        <v>25</v>
      </c>
      <c r="N121">
        <v>0</v>
      </c>
      <c r="O121" s="6" t="s">
        <v>920</v>
      </c>
    </row>
    <row r="122" spans="1:15" x14ac:dyDescent="0.3">
      <c r="A122">
        <v>1051</v>
      </c>
      <c r="B122" s="6" t="s">
        <v>163</v>
      </c>
      <c r="C122">
        <v>19</v>
      </c>
      <c r="D122" s="6" t="s">
        <v>24</v>
      </c>
      <c r="E122" s="6" t="s">
        <v>84</v>
      </c>
      <c r="F122" s="6" t="s">
        <v>761</v>
      </c>
      <c r="G122">
        <v>1</v>
      </c>
      <c r="H122" s="6" t="s">
        <v>17</v>
      </c>
      <c r="I122" s="5">
        <v>45350</v>
      </c>
      <c r="J122" s="5">
        <v>45325</v>
      </c>
      <c r="K122" s="6" t="s">
        <v>40</v>
      </c>
      <c r="L122" s="6" t="s">
        <v>911</v>
      </c>
      <c r="M122">
        <v>25</v>
      </c>
      <c r="N122">
        <v>1</v>
      </c>
      <c r="O122" s="6" t="s">
        <v>920</v>
      </c>
    </row>
    <row r="123" spans="1:15" x14ac:dyDescent="0.3">
      <c r="A123">
        <v>1359</v>
      </c>
      <c r="B123" s="6" t="s">
        <v>1023</v>
      </c>
      <c r="C123">
        <v>19</v>
      </c>
      <c r="D123" s="6" t="s">
        <v>24</v>
      </c>
      <c r="E123" s="6" t="s">
        <v>25</v>
      </c>
      <c r="F123" s="6" t="s">
        <v>743</v>
      </c>
      <c r="G123">
        <v>3</v>
      </c>
      <c r="H123" s="6" t="s">
        <v>28</v>
      </c>
      <c r="I123" s="5">
        <v>45362</v>
      </c>
      <c r="J123" s="5">
        <v>45341</v>
      </c>
      <c r="K123" s="6" t="s">
        <v>20</v>
      </c>
      <c r="L123" s="6" t="s">
        <v>909</v>
      </c>
      <c r="M123">
        <v>21</v>
      </c>
      <c r="N123">
        <v>0</v>
      </c>
      <c r="O123" s="6" t="s">
        <v>920</v>
      </c>
    </row>
    <row r="124" spans="1:15" x14ac:dyDescent="0.3">
      <c r="A124">
        <v>1243</v>
      </c>
      <c r="B124" s="6" t="s">
        <v>163</v>
      </c>
      <c r="C124">
        <v>19</v>
      </c>
      <c r="D124" s="6" t="s">
        <v>24</v>
      </c>
      <c r="E124" s="6" t="s">
        <v>167</v>
      </c>
      <c r="F124" s="6" t="s">
        <v>781</v>
      </c>
      <c r="G124">
        <v>1</v>
      </c>
      <c r="H124" s="6" t="s">
        <v>28</v>
      </c>
      <c r="I124" s="5">
        <v>45315</v>
      </c>
      <c r="J124" s="5">
        <v>45336</v>
      </c>
      <c r="K124" s="6" t="s">
        <v>69</v>
      </c>
      <c r="L124" s="6" t="s">
        <v>1021</v>
      </c>
      <c r="M124">
        <v>21</v>
      </c>
      <c r="N124">
        <v>0</v>
      </c>
      <c r="O124" s="6" t="s">
        <v>920</v>
      </c>
    </row>
    <row r="125" spans="1:15" x14ac:dyDescent="0.3">
      <c r="A125">
        <v>1465</v>
      </c>
      <c r="B125" s="6" t="s">
        <v>47</v>
      </c>
      <c r="C125">
        <v>25</v>
      </c>
      <c r="D125" s="6" t="s">
        <v>659</v>
      </c>
      <c r="E125" s="6" t="s">
        <v>167</v>
      </c>
      <c r="F125" s="6" t="s">
        <v>904</v>
      </c>
      <c r="G125">
        <v>5</v>
      </c>
      <c r="H125" s="6" t="s">
        <v>908</v>
      </c>
      <c r="I125" s="5">
        <v>45343</v>
      </c>
      <c r="J125" s="5">
        <v>45364</v>
      </c>
      <c r="K125" s="6" t="s">
        <v>69</v>
      </c>
      <c r="L125" s="6" t="s">
        <v>1021</v>
      </c>
      <c r="M125">
        <v>21</v>
      </c>
      <c r="N125">
        <v>0</v>
      </c>
      <c r="O125" s="6" t="s">
        <v>920</v>
      </c>
    </row>
    <row r="126" spans="1:15" x14ac:dyDescent="0.3">
      <c r="A126">
        <v>1307</v>
      </c>
      <c r="B126" s="6" t="s">
        <v>47</v>
      </c>
      <c r="C126">
        <v>18</v>
      </c>
      <c r="D126" s="6" t="s">
        <v>24</v>
      </c>
      <c r="E126" s="6" t="s">
        <v>156</v>
      </c>
      <c r="F126" s="6" t="s">
        <v>834</v>
      </c>
      <c r="G126">
        <v>1</v>
      </c>
      <c r="H126" s="6" t="s">
        <v>17</v>
      </c>
      <c r="I126" s="5">
        <v>45403</v>
      </c>
      <c r="J126" s="5">
        <v>45383</v>
      </c>
      <c r="K126" s="6" t="s">
        <v>40</v>
      </c>
      <c r="L126" s="6" t="s">
        <v>1021</v>
      </c>
      <c r="M126">
        <v>20</v>
      </c>
      <c r="N126">
        <v>1</v>
      </c>
      <c r="O126" s="6" t="s">
        <v>920</v>
      </c>
    </row>
    <row r="127" spans="1:15" x14ac:dyDescent="0.3">
      <c r="A127">
        <v>1098</v>
      </c>
      <c r="B127" s="6" t="s">
        <v>47</v>
      </c>
      <c r="C127">
        <v>19</v>
      </c>
      <c r="D127" s="6" t="s">
        <v>659</v>
      </c>
      <c r="E127" s="6" t="s">
        <v>25</v>
      </c>
      <c r="F127" s="6" t="s">
        <v>662</v>
      </c>
      <c r="G127">
        <v>1</v>
      </c>
      <c r="H127" s="6" t="s">
        <v>17</v>
      </c>
      <c r="I127" s="5">
        <v>45300</v>
      </c>
      <c r="J127" s="5">
        <v>45319</v>
      </c>
      <c r="K127" s="6" t="s">
        <v>40</v>
      </c>
      <c r="L127" s="6" t="s">
        <v>910</v>
      </c>
      <c r="M127">
        <v>19</v>
      </c>
      <c r="N127">
        <v>1</v>
      </c>
      <c r="O127" s="6" t="s">
        <v>920</v>
      </c>
    </row>
    <row r="128" spans="1:15" x14ac:dyDescent="0.3">
      <c r="A128">
        <v>1331</v>
      </c>
      <c r="B128" s="6" t="s">
        <v>74</v>
      </c>
      <c r="C128">
        <v>25</v>
      </c>
      <c r="D128" s="6" t="s">
        <v>24</v>
      </c>
      <c r="E128" s="6" t="s">
        <v>84</v>
      </c>
      <c r="F128" s="6" t="s">
        <v>719</v>
      </c>
      <c r="G128">
        <v>3</v>
      </c>
      <c r="H128" s="6" t="s">
        <v>76</v>
      </c>
      <c r="I128" s="5">
        <v>45429</v>
      </c>
      <c r="J128" s="5">
        <v>45410</v>
      </c>
      <c r="K128" s="6" t="s">
        <v>40</v>
      </c>
      <c r="L128" s="6" t="s">
        <v>909</v>
      </c>
      <c r="M128">
        <v>19</v>
      </c>
      <c r="N128">
        <v>1</v>
      </c>
      <c r="O128" s="6" t="s">
        <v>920</v>
      </c>
    </row>
    <row r="129" spans="1:15" x14ac:dyDescent="0.3">
      <c r="A129">
        <v>1088</v>
      </c>
      <c r="B129" s="6" t="s">
        <v>163</v>
      </c>
      <c r="C129">
        <v>21</v>
      </c>
      <c r="D129" s="6" t="s">
        <v>55</v>
      </c>
      <c r="E129" s="6" t="s">
        <v>84</v>
      </c>
      <c r="F129" s="6" t="s">
        <v>886</v>
      </c>
      <c r="G129">
        <v>1</v>
      </c>
      <c r="H129" s="6" t="s">
        <v>76</v>
      </c>
      <c r="I129" s="5">
        <v>45384</v>
      </c>
      <c r="J129" s="5">
        <v>45365</v>
      </c>
      <c r="K129" s="6" t="s">
        <v>914</v>
      </c>
      <c r="L129" s="6" t="s">
        <v>909</v>
      </c>
      <c r="M129">
        <v>19</v>
      </c>
      <c r="N129">
        <v>0</v>
      </c>
      <c r="O129" s="6" t="s">
        <v>920</v>
      </c>
    </row>
    <row r="130" spans="1:15" x14ac:dyDescent="0.3">
      <c r="A130">
        <v>1045</v>
      </c>
      <c r="B130" s="6" t="s">
        <v>22</v>
      </c>
      <c r="C130">
        <v>21</v>
      </c>
      <c r="D130" s="6" t="s">
        <v>55</v>
      </c>
      <c r="E130" s="6" t="s">
        <v>156</v>
      </c>
      <c r="F130" s="6" t="s">
        <v>896</v>
      </c>
      <c r="G130">
        <v>5</v>
      </c>
      <c r="H130" s="6" t="s">
        <v>17</v>
      </c>
      <c r="I130" s="5">
        <v>45332</v>
      </c>
      <c r="J130" s="5">
        <v>45314</v>
      </c>
      <c r="K130" s="6" t="s">
        <v>69</v>
      </c>
      <c r="L130" s="6" t="s">
        <v>913</v>
      </c>
      <c r="M130">
        <v>18</v>
      </c>
      <c r="N130">
        <v>0</v>
      </c>
      <c r="O130" s="6" t="s">
        <v>920</v>
      </c>
    </row>
    <row r="131" spans="1:15" x14ac:dyDescent="0.3">
      <c r="A131">
        <v>1213</v>
      </c>
      <c r="B131" s="6" t="s">
        <v>163</v>
      </c>
      <c r="C131">
        <v>24</v>
      </c>
      <c r="D131" s="6" t="s">
        <v>24</v>
      </c>
      <c r="E131" s="6" t="s">
        <v>84</v>
      </c>
      <c r="F131" s="6" t="s">
        <v>707</v>
      </c>
      <c r="G131">
        <v>0</v>
      </c>
      <c r="H131" s="6" t="s">
        <v>28</v>
      </c>
      <c r="I131" s="5">
        <v>45308</v>
      </c>
      <c r="J131" s="5">
        <v>45325</v>
      </c>
      <c r="K131" s="6" t="s">
        <v>20</v>
      </c>
      <c r="L131" s="6" t="s">
        <v>1021</v>
      </c>
      <c r="M131">
        <v>17</v>
      </c>
      <c r="N131">
        <v>0</v>
      </c>
      <c r="O131" s="6" t="s">
        <v>920</v>
      </c>
    </row>
    <row r="132" spans="1:15" x14ac:dyDescent="0.3">
      <c r="A132">
        <v>1412</v>
      </c>
      <c r="B132" s="6" t="s">
        <v>47</v>
      </c>
      <c r="C132">
        <v>20</v>
      </c>
      <c r="D132" s="6" t="s">
        <v>55</v>
      </c>
      <c r="E132" s="6" t="s">
        <v>84</v>
      </c>
      <c r="F132" s="6" t="s">
        <v>840</v>
      </c>
      <c r="G132">
        <v>0</v>
      </c>
      <c r="H132" s="6" t="s">
        <v>908</v>
      </c>
      <c r="I132" s="5">
        <v>45354</v>
      </c>
      <c r="J132" s="5">
        <v>45370</v>
      </c>
      <c r="K132" s="6" t="s">
        <v>69</v>
      </c>
      <c r="L132" s="6" t="s">
        <v>913</v>
      </c>
      <c r="M132">
        <v>16</v>
      </c>
      <c r="N132">
        <v>0</v>
      </c>
      <c r="O132" s="6" t="s">
        <v>920</v>
      </c>
    </row>
    <row r="133" spans="1:15" x14ac:dyDescent="0.3">
      <c r="A133">
        <v>1413</v>
      </c>
      <c r="B133" s="6" t="s">
        <v>1023</v>
      </c>
      <c r="C133">
        <v>22</v>
      </c>
      <c r="D133" s="6" t="s">
        <v>55</v>
      </c>
      <c r="E133" s="6" t="s">
        <v>84</v>
      </c>
      <c r="F133" s="6" t="s">
        <v>819</v>
      </c>
      <c r="G133">
        <v>4</v>
      </c>
      <c r="H133" s="6" t="s">
        <v>17</v>
      </c>
      <c r="I133" s="5">
        <v>45355</v>
      </c>
      <c r="J133" s="5">
        <v>45368</v>
      </c>
      <c r="K133" s="6" t="s">
        <v>40</v>
      </c>
      <c r="L133" s="6" t="s">
        <v>910</v>
      </c>
      <c r="M133">
        <v>13</v>
      </c>
      <c r="N133">
        <v>1</v>
      </c>
      <c r="O133" s="6" t="s">
        <v>920</v>
      </c>
    </row>
    <row r="134" spans="1:15" x14ac:dyDescent="0.3">
      <c r="A134">
        <v>1387</v>
      </c>
      <c r="B134" s="6" t="s">
        <v>47</v>
      </c>
      <c r="C134">
        <v>22</v>
      </c>
      <c r="D134" s="6" t="s">
        <v>55</v>
      </c>
      <c r="E134" s="6" t="s">
        <v>156</v>
      </c>
      <c r="F134" s="6" t="s">
        <v>715</v>
      </c>
      <c r="G134">
        <v>2</v>
      </c>
      <c r="H134" s="6" t="s">
        <v>28</v>
      </c>
      <c r="I134" s="5">
        <v>45455</v>
      </c>
      <c r="J134" s="5">
        <v>45444</v>
      </c>
      <c r="K134" s="6" t="s">
        <v>40</v>
      </c>
      <c r="L134" s="6" t="s">
        <v>911</v>
      </c>
      <c r="M134">
        <v>11</v>
      </c>
      <c r="N134">
        <v>1</v>
      </c>
      <c r="O134" s="6" t="s">
        <v>920</v>
      </c>
    </row>
    <row r="135" spans="1:15" x14ac:dyDescent="0.3">
      <c r="A135">
        <v>1174</v>
      </c>
      <c r="B135" s="6" t="s">
        <v>22</v>
      </c>
      <c r="C135">
        <v>21</v>
      </c>
      <c r="D135" s="6" t="s">
        <v>55</v>
      </c>
      <c r="E135" s="6" t="s">
        <v>25</v>
      </c>
      <c r="F135" s="6" t="s">
        <v>901</v>
      </c>
      <c r="G135">
        <v>0</v>
      </c>
      <c r="H135" s="6" t="s">
        <v>17</v>
      </c>
      <c r="I135" s="5">
        <v>45390</v>
      </c>
      <c r="J135" s="5">
        <v>45400</v>
      </c>
      <c r="K135" s="6" t="s">
        <v>914</v>
      </c>
      <c r="L135" s="6" t="s">
        <v>909</v>
      </c>
      <c r="M135">
        <v>10</v>
      </c>
      <c r="N135">
        <v>0</v>
      </c>
      <c r="O135" s="6" t="s">
        <v>920</v>
      </c>
    </row>
    <row r="136" spans="1:15" x14ac:dyDescent="0.3">
      <c r="A136">
        <v>1027</v>
      </c>
      <c r="B136" s="6" t="s">
        <v>22</v>
      </c>
      <c r="C136">
        <v>22</v>
      </c>
      <c r="D136" s="6" t="s">
        <v>659</v>
      </c>
      <c r="E136" s="6" t="s">
        <v>25</v>
      </c>
      <c r="F136" s="6" t="s">
        <v>793</v>
      </c>
      <c r="G136">
        <v>4</v>
      </c>
      <c r="H136" s="6" t="s">
        <v>908</v>
      </c>
      <c r="I136" s="5">
        <v>45348</v>
      </c>
      <c r="J136" s="5">
        <v>45339</v>
      </c>
      <c r="K136" s="6" t="s">
        <v>914</v>
      </c>
      <c r="L136" s="6" t="s">
        <v>909</v>
      </c>
      <c r="M136">
        <v>9</v>
      </c>
      <c r="N136">
        <v>0</v>
      </c>
      <c r="O136" s="6" t="s">
        <v>920</v>
      </c>
    </row>
    <row r="137" spans="1:15" x14ac:dyDescent="0.3">
      <c r="A137">
        <v>1303</v>
      </c>
      <c r="B137" s="6" t="s">
        <v>1022</v>
      </c>
      <c r="C137">
        <v>20</v>
      </c>
      <c r="D137" s="6" t="s">
        <v>55</v>
      </c>
      <c r="E137" s="6" t="s">
        <v>167</v>
      </c>
      <c r="F137" s="6" t="s">
        <v>803</v>
      </c>
      <c r="G137">
        <v>1</v>
      </c>
      <c r="H137" s="6" t="s">
        <v>17</v>
      </c>
      <c r="I137" s="5">
        <v>45450</v>
      </c>
      <c r="J137" s="5">
        <v>45459</v>
      </c>
      <c r="K137" s="6" t="s">
        <v>914</v>
      </c>
      <c r="L137" s="6" t="s">
        <v>910</v>
      </c>
      <c r="M137">
        <v>9</v>
      </c>
      <c r="N137">
        <v>0</v>
      </c>
      <c r="O137" s="6" t="s">
        <v>920</v>
      </c>
    </row>
    <row r="138" spans="1:15" x14ac:dyDescent="0.3">
      <c r="A138">
        <v>1433</v>
      </c>
      <c r="B138" s="6" t="s">
        <v>1022</v>
      </c>
      <c r="C138">
        <v>18</v>
      </c>
      <c r="D138" s="6" t="s">
        <v>55</v>
      </c>
      <c r="E138" s="6" t="s">
        <v>156</v>
      </c>
      <c r="F138" s="6" t="s">
        <v>816</v>
      </c>
      <c r="G138">
        <v>1</v>
      </c>
      <c r="H138" s="6" t="s">
        <v>17</v>
      </c>
      <c r="I138" s="5">
        <v>45405</v>
      </c>
      <c r="J138" s="5">
        <v>45414</v>
      </c>
      <c r="K138" s="6" t="s">
        <v>40</v>
      </c>
      <c r="L138" s="6" t="s">
        <v>913</v>
      </c>
      <c r="M138">
        <v>9</v>
      </c>
      <c r="N138">
        <v>1</v>
      </c>
      <c r="O138" s="6" t="s">
        <v>920</v>
      </c>
    </row>
    <row r="139" spans="1:15" x14ac:dyDescent="0.3">
      <c r="A139">
        <v>1459</v>
      </c>
      <c r="B139" s="6" t="s">
        <v>74</v>
      </c>
      <c r="C139">
        <v>22</v>
      </c>
      <c r="D139" s="6" t="s">
        <v>24</v>
      </c>
      <c r="E139" s="6" t="s">
        <v>156</v>
      </c>
      <c r="F139" s="6" t="s">
        <v>744</v>
      </c>
      <c r="G139">
        <v>0</v>
      </c>
      <c r="H139" s="6" t="s">
        <v>28</v>
      </c>
      <c r="I139" s="5">
        <v>45328</v>
      </c>
      <c r="J139" s="5">
        <v>45333</v>
      </c>
      <c r="K139" s="6" t="s">
        <v>20</v>
      </c>
      <c r="L139" s="6" t="s">
        <v>913</v>
      </c>
      <c r="M139">
        <v>5</v>
      </c>
      <c r="N139">
        <v>0</v>
      </c>
      <c r="O139" s="6" t="s">
        <v>920</v>
      </c>
    </row>
    <row r="140" spans="1:15" x14ac:dyDescent="0.3">
      <c r="A140">
        <v>1186</v>
      </c>
      <c r="B140" s="6" t="s">
        <v>1022</v>
      </c>
      <c r="C140">
        <v>21</v>
      </c>
      <c r="D140" s="6" t="s">
        <v>659</v>
      </c>
      <c r="E140" s="6" t="s">
        <v>167</v>
      </c>
      <c r="F140" s="6" t="s">
        <v>749</v>
      </c>
      <c r="G140">
        <v>2</v>
      </c>
      <c r="H140" s="6" t="s">
        <v>76</v>
      </c>
      <c r="I140" s="5">
        <v>45332</v>
      </c>
      <c r="J140" s="5">
        <v>45337</v>
      </c>
      <c r="K140" s="6" t="s">
        <v>20</v>
      </c>
      <c r="L140" s="6" t="s">
        <v>1021</v>
      </c>
      <c r="M140">
        <v>5</v>
      </c>
      <c r="N140">
        <v>0</v>
      </c>
      <c r="O140" s="6" t="s">
        <v>920</v>
      </c>
    </row>
    <row r="141" spans="1:15" x14ac:dyDescent="0.3">
      <c r="A141">
        <v>1254</v>
      </c>
      <c r="B141" s="6" t="s">
        <v>117</v>
      </c>
      <c r="C141">
        <v>22</v>
      </c>
      <c r="D141" s="6" t="s">
        <v>55</v>
      </c>
      <c r="E141" s="6" t="s">
        <v>167</v>
      </c>
      <c r="F141" s="6" t="s">
        <v>830</v>
      </c>
      <c r="G141">
        <v>2</v>
      </c>
      <c r="H141" s="6" t="s">
        <v>28</v>
      </c>
      <c r="I141" s="5">
        <v>45345</v>
      </c>
      <c r="J141" s="5">
        <v>45350</v>
      </c>
      <c r="K141" s="6" t="s">
        <v>914</v>
      </c>
      <c r="L141" s="6" t="s">
        <v>909</v>
      </c>
      <c r="M141">
        <v>5</v>
      </c>
      <c r="N141">
        <v>0</v>
      </c>
      <c r="O141" s="6" t="s">
        <v>920</v>
      </c>
    </row>
    <row r="142" spans="1:15" x14ac:dyDescent="0.3">
      <c r="A142">
        <v>1244</v>
      </c>
      <c r="B142" s="6" t="s">
        <v>22</v>
      </c>
      <c r="C142">
        <v>25</v>
      </c>
      <c r="D142" s="6" t="s">
        <v>659</v>
      </c>
      <c r="E142" s="6" t="s">
        <v>167</v>
      </c>
      <c r="F142" s="6" t="s">
        <v>742</v>
      </c>
      <c r="G142">
        <v>4</v>
      </c>
      <c r="H142" s="6" t="s">
        <v>28</v>
      </c>
      <c r="I142" s="5">
        <v>45359</v>
      </c>
      <c r="J142" s="5">
        <v>45356</v>
      </c>
      <c r="K142" s="6" t="s">
        <v>914</v>
      </c>
      <c r="L142" s="6" t="s">
        <v>910</v>
      </c>
      <c r="M142">
        <v>3</v>
      </c>
      <c r="N142">
        <v>0</v>
      </c>
      <c r="O142" s="6" t="s">
        <v>920</v>
      </c>
    </row>
    <row r="143" spans="1:15" x14ac:dyDescent="0.3">
      <c r="A143">
        <v>1195</v>
      </c>
      <c r="B143" s="6" t="s">
        <v>1023</v>
      </c>
      <c r="C143">
        <v>25</v>
      </c>
      <c r="D143" s="6" t="s">
        <v>24</v>
      </c>
      <c r="E143" s="6" t="s">
        <v>84</v>
      </c>
      <c r="F143" s="6" t="s">
        <v>906</v>
      </c>
      <c r="G143">
        <v>3</v>
      </c>
      <c r="H143" s="6" t="s">
        <v>908</v>
      </c>
      <c r="I143" s="5">
        <v>45348</v>
      </c>
      <c r="J143" s="5">
        <v>45345</v>
      </c>
      <c r="K143" s="6" t="s">
        <v>40</v>
      </c>
      <c r="L143" s="6" t="s">
        <v>911</v>
      </c>
      <c r="M143">
        <v>3</v>
      </c>
      <c r="N143">
        <v>1</v>
      </c>
      <c r="O143" s="6" t="s">
        <v>920</v>
      </c>
    </row>
    <row r="144" spans="1:15" x14ac:dyDescent="0.3">
      <c r="A144">
        <v>1385</v>
      </c>
      <c r="B144" s="6" t="s">
        <v>22</v>
      </c>
      <c r="C144">
        <v>18</v>
      </c>
      <c r="D144" s="6" t="s">
        <v>55</v>
      </c>
      <c r="E144" s="6" t="s">
        <v>84</v>
      </c>
      <c r="F144" s="6" t="s">
        <v>820</v>
      </c>
      <c r="G144">
        <v>4</v>
      </c>
      <c r="H144" s="6" t="s">
        <v>17</v>
      </c>
      <c r="I144" s="5">
        <v>45311</v>
      </c>
      <c r="J144" s="5">
        <v>45309</v>
      </c>
      <c r="K144" s="6" t="s">
        <v>40</v>
      </c>
      <c r="L144" s="6" t="s">
        <v>909</v>
      </c>
      <c r="M144">
        <v>2</v>
      </c>
      <c r="N144">
        <v>1</v>
      </c>
      <c r="O144" s="6" t="s">
        <v>920</v>
      </c>
    </row>
    <row r="145" spans="1:15" x14ac:dyDescent="0.3">
      <c r="A145">
        <v>1348</v>
      </c>
      <c r="B145" s="6" t="s">
        <v>163</v>
      </c>
      <c r="C145">
        <v>18</v>
      </c>
      <c r="D145" s="6" t="s">
        <v>24</v>
      </c>
      <c r="E145" s="6" t="s">
        <v>25</v>
      </c>
      <c r="F145" s="6" t="s">
        <v>703</v>
      </c>
      <c r="G145">
        <v>4</v>
      </c>
      <c r="H145" s="6" t="s">
        <v>17</v>
      </c>
      <c r="I145" s="5">
        <v>45327</v>
      </c>
      <c r="J145" s="5">
        <v>45328</v>
      </c>
      <c r="K145" s="6" t="s">
        <v>914</v>
      </c>
      <c r="L145" s="6" t="s">
        <v>911</v>
      </c>
      <c r="M145">
        <v>1</v>
      </c>
      <c r="N145">
        <v>0</v>
      </c>
      <c r="O145" s="6" t="s">
        <v>920</v>
      </c>
    </row>
    <row r="146" spans="1:15" x14ac:dyDescent="0.3">
      <c r="A146">
        <v>1255</v>
      </c>
      <c r="B146" s="6" t="s">
        <v>74</v>
      </c>
      <c r="C146">
        <v>21</v>
      </c>
      <c r="D146" s="6" t="s">
        <v>24</v>
      </c>
      <c r="E146" s="6" t="s">
        <v>156</v>
      </c>
      <c r="F146" s="6" t="s">
        <v>741</v>
      </c>
      <c r="G146">
        <v>1</v>
      </c>
      <c r="H146" s="6" t="s">
        <v>908</v>
      </c>
      <c r="I146" s="5">
        <v>45466</v>
      </c>
      <c r="J146" s="5">
        <v>45467</v>
      </c>
      <c r="K146" s="6" t="s">
        <v>20</v>
      </c>
      <c r="L146" s="6" t="s">
        <v>910</v>
      </c>
      <c r="M146">
        <v>1</v>
      </c>
      <c r="N146">
        <v>0</v>
      </c>
      <c r="O146" s="6" t="s">
        <v>920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8923-C780-4C91-BD47-4183081C7FAF}">
  <dimension ref="A1:O146"/>
  <sheetViews>
    <sheetView workbookViewId="0">
      <selection activeCell="E8" sqref="E8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3.6640625" bestFit="1" customWidth="1"/>
    <col min="10" max="10" width="20.33203125" bestFit="1" customWidth="1"/>
    <col min="11" max="11" width="16.5546875" bestFit="1" customWidth="1"/>
    <col min="12" max="12" width="10.44140625" bestFit="1" customWidth="1"/>
    <col min="13" max="13" width="26" bestFit="1" customWidth="1"/>
    <col min="14" max="14" width="10.777343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916</v>
      </c>
      <c r="N1" t="s">
        <v>917</v>
      </c>
      <c r="O1" t="s">
        <v>918</v>
      </c>
    </row>
    <row r="2" spans="1:15" x14ac:dyDescent="0.3">
      <c r="A2">
        <v>1394</v>
      </c>
      <c r="B2" s="6" t="s">
        <v>163</v>
      </c>
      <c r="C2">
        <v>18</v>
      </c>
      <c r="D2" s="6" t="s">
        <v>24</v>
      </c>
      <c r="E2" s="6" t="s">
        <v>84</v>
      </c>
      <c r="F2" s="6" t="s">
        <v>722</v>
      </c>
      <c r="G2">
        <v>4</v>
      </c>
      <c r="H2" s="6" t="s">
        <v>28</v>
      </c>
      <c r="I2" s="5">
        <v>45628</v>
      </c>
      <c r="J2" s="5">
        <v>45300</v>
      </c>
      <c r="K2" s="6" t="s">
        <v>40</v>
      </c>
      <c r="L2" s="6" t="s">
        <v>909</v>
      </c>
      <c r="M2">
        <v>328</v>
      </c>
      <c r="N2">
        <v>1</v>
      </c>
      <c r="O2" s="6" t="s">
        <v>920</v>
      </c>
    </row>
    <row r="3" spans="1:15" x14ac:dyDescent="0.3">
      <c r="A3">
        <v>1016</v>
      </c>
      <c r="B3" s="6" t="s">
        <v>120</v>
      </c>
      <c r="C3">
        <v>22</v>
      </c>
      <c r="D3" s="6" t="s">
        <v>24</v>
      </c>
      <c r="E3" s="6" t="s">
        <v>84</v>
      </c>
      <c r="F3" s="6" t="s">
        <v>805</v>
      </c>
      <c r="G3">
        <v>5</v>
      </c>
      <c r="H3" s="6" t="s">
        <v>28</v>
      </c>
      <c r="I3" s="5">
        <v>45628</v>
      </c>
      <c r="J3" s="5">
        <v>45315</v>
      </c>
      <c r="K3" s="6" t="s">
        <v>40</v>
      </c>
      <c r="L3" s="6" t="s">
        <v>910</v>
      </c>
      <c r="M3">
        <v>313</v>
      </c>
      <c r="N3">
        <v>1</v>
      </c>
      <c r="O3" s="6" t="s">
        <v>920</v>
      </c>
    </row>
    <row r="4" spans="1:15" x14ac:dyDescent="0.3">
      <c r="A4">
        <v>1271</v>
      </c>
      <c r="B4" s="6" t="s">
        <v>22</v>
      </c>
      <c r="C4">
        <v>21</v>
      </c>
      <c r="D4" s="6" t="s">
        <v>55</v>
      </c>
      <c r="E4" s="6" t="s">
        <v>84</v>
      </c>
      <c r="F4" s="6" t="s">
        <v>727</v>
      </c>
      <c r="G4">
        <v>5</v>
      </c>
      <c r="H4" s="6" t="s">
        <v>28</v>
      </c>
      <c r="I4" s="5">
        <v>45295</v>
      </c>
      <c r="J4" s="5">
        <v>45566</v>
      </c>
      <c r="K4" s="6" t="s">
        <v>40</v>
      </c>
      <c r="L4" s="6" t="s">
        <v>913</v>
      </c>
      <c r="M4">
        <v>271</v>
      </c>
      <c r="N4">
        <v>1</v>
      </c>
      <c r="O4" s="6" t="s">
        <v>920</v>
      </c>
    </row>
    <row r="5" spans="1:15" x14ac:dyDescent="0.3">
      <c r="A5">
        <v>1099</v>
      </c>
      <c r="B5" s="6" t="s">
        <v>155</v>
      </c>
      <c r="C5">
        <v>21</v>
      </c>
      <c r="D5" s="6" t="s">
        <v>24</v>
      </c>
      <c r="E5" s="6" t="s">
        <v>156</v>
      </c>
      <c r="F5" s="6" t="s">
        <v>701</v>
      </c>
      <c r="G5">
        <v>1</v>
      </c>
      <c r="H5" s="6" t="s">
        <v>28</v>
      </c>
      <c r="I5" s="5">
        <v>45309</v>
      </c>
      <c r="J5" s="5">
        <v>45569</v>
      </c>
      <c r="K5" s="6" t="s">
        <v>69</v>
      </c>
      <c r="L5" s="6" t="s">
        <v>1021</v>
      </c>
      <c r="M5">
        <v>260</v>
      </c>
      <c r="N5">
        <v>0</v>
      </c>
      <c r="O5" s="6" t="s">
        <v>920</v>
      </c>
    </row>
    <row r="6" spans="1:15" x14ac:dyDescent="0.3">
      <c r="A6">
        <v>1467</v>
      </c>
      <c r="B6" s="6" t="s">
        <v>163</v>
      </c>
      <c r="C6">
        <v>21</v>
      </c>
      <c r="D6" s="6" t="s">
        <v>55</v>
      </c>
      <c r="E6" s="6" t="s">
        <v>167</v>
      </c>
      <c r="F6" s="6" t="s">
        <v>821</v>
      </c>
      <c r="G6">
        <v>5</v>
      </c>
      <c r="H6" s="6" t="s">
        <v>17</v>
      </c>
      <c r="I6" s="5">
        <v>45338</v>
      </c>
      <c r="J6" s="5">
        <v>45566</v>
      </c>
      <c r="K6" s="6" t="s">
        <v>914</v>
      </c>
      <c r="L6" s="6" t="s">
        <v>909</v>
      </c>
      <c r="M6">
        <v>228</v>
      </c>
      <c r="N6">
        <v>0</v>
      </c>
      <c r="O6" s="6" t="s">
        <v>920</v>
      </c>
    </row>
    <row r="7" spans="1:15" x14ac:dyDescent="0.3">
      <c r="A7">
        <v>1489</v>
      </c>
      <c r="B7" s="6" t="s">
        <v>107</v>
      </c>
      <c r="C7">
        <v>23</v>
      </c>
      <c r="D7" s="6" t="s">
        <v>659</v>
      </c>
      <c r="E7" s="6" t="s">
        <v>84</v>
      </c>
      <c r="F7" s="6" t="s">
        <v>776</v>
      </c>
      <c r="G7">
        <v>5</v>
      </c>
      <c r="H7" s="6" t="s">
        <v>908</v>
      </c>
      <c r="I7" s="5">
        <v>45327</v>
      </c>
      <c r="J7" s="5">
        <v>45539</v>
      </c>
      <c r="K7" s="6" t="s">
        <v>914</v>
      </c>
      <c r="L7" s="6" t="s">
        <v>1021</v>
      </c>
      <c r="M7">
        <v>212</v>
      </c>
      <c r="N7">
        <v>0</v>
      </c>
      <c r="O7" s="6" t="s">
        <v>920</v>
      </c>
    </row>
    <row r="8" spans="1:15" x14ac:dyDescent="0.3">
      <c r="A8">
        <v>1409</v>
      </c>
      <c r="B8" s="6" t="s">
        <v>136</v>
      </c>
      <c r="C8">
        <v>20</v>
      </c>
      <c r="D8" s="6" t="s">
        <v>24</v>
      </c>
      <c r="E8" s="6" t="s">
        <v>84</v>
      </c>
      <c r="F8" s="6" t="s">
        <v>680</v>
      </c>
      <c r="G8">
        <v>3</v>
      </c>
      <c r="H8" s="6" t="s">
        <v>908</v>
      </c>
      <c r="I8" s="5">
        <v>45506</v>
      </c>
      <c r="J8" s="5">
        <v>45328</v>
      </c>
      <c r="K8" s="6" t="s">
        <v>20</v>
      </c>
      <c r="L8" s="6" t="s">
        <v>911</v>
      </c>
      <c r="M8">
        <v>178</v>
      </c>
      <c r="N8">
        <v>0</v>
      </c>
      <c r="O8" s="6" t="s">
        <v>920</v>
      </c>
    </row>
    <row r="9" spans="1:15" x14ac:dyDescent="0.3">
      <c r="A9">
        <v>1458</v>
      </c>
      <c r="B9" s="6" t="s">
        <v>22</v>
      </c>
      <c r="C9">
        <v>21</v>
      </c>
      <c r="D9" s="6" t="s">
        <v>55</v>
      </c>
      <c r="E9" s="6" t="s">
        <v>25</v>
      </c>
      <c r="F9" s="6" t="s">
        <v>865</v>
      </c>
      <c r="G9">
        <v>1</v>
      </c>
      <c r="H9" s="6" t="s">
        <v>28</v>
      </c>
      <c r="I9" s="5">
        <v>45471</v>
      </c>
      <c r="J9" s="5">
        <v>45295</v>
      </c>
      <c r="K9" s="6" t="s">
        <v>69</v>
      </c>
      <c r="L9" s="6" t="s">
        <v>910</v>
      </c>
      <c r="M9">
        <v>176</v>
      </c>
      <c r="N9">
        <v>0</v>
      </c>
      <c r="O9" s="6" t="s">
        <v>920</v>
      </c>
    </row>
    <row r="10" spans="1:15" x14ac:dyDescent="0.3">
      <c r="A10">
        <v>1070</v>
      </c>
      <c r="B10" s="6" t="s">
        <v>107</v>
      </c>
      <c r="C10">
        <v>22</v>
      </c>
      <c r="D10" s="6" t="s">
        <v>24</v>
      </c>
      <c r="E10" s="6" t="s">
        <v>167</v>
      </c>
      <c r="F10" s="6" t="s">
        <v>734</v>
      </c>
      <c r="G10">
        <v>5</v>
      </c>
      <c r="H10" s="6" t="s">
        <v>17</v>
      </c>
      <c r="I10" s="5">
        <v>45304</v>
      </c>
      <c r="J10" s="5">
        <v>45477</v>
      </c>
      <c r="K10" s="6" t="s">
        <v>40</v>
      </c>
      <c r="L10" s="6" t="s">
        <v>911</v>
      </c>
      <c r="M10">
        <v>173</v>
      </c>
      <c r="N10">
        <v>1</v>
      </c>
      <c r="O10" s="6" t="s">
        <v>920</v>
      </c>
    </row>
    <row r="11" spans="1:15" x14ac:dyDescent="0.3">
      <c r="A11">
        <v>1486</v>
      </c>
      <c r="B11" s="6" t="s">
        <v>136</v>
      </c>
      <c r="C11">
        <v>24</v>
      </c>
      <c r="D11" s="6" t="s">
        <v>55</v>
      </c>
      <c r="E11" s="6" t="s">
        <v>25</v>
      </c>
      <c r="F11" s="6" t="s">
        <v>826</v>
      </c>
      <c r="G11">
        <v>4</v>
      </c>
      <c r="H11" s="6" t="s">
        <v>28</v>
      </c>
      <c r="I11" s="5">
        <v>45425</v>
      </c>
      <c r="J11" s="5">
        <v>45597</v>
      </c>
      <c r="K11" s="6" t="s">
        <v>40</v>
      </c>
      <c r="L11" s="6" t="s">
        <v>909</v>
      </c>
      <c r="M11">
        <v>172</v>
      </c>
      <c r="N11">
        <v>1</v>
      </c>
      <c r="O11" s="6" t="s">
        <v>920</v>
      </c>
    </row>
    <row r="12" spans="1:15" x14ac:dyDescent="0.3">
      <c r="A12">
        <v>1471</v>
      </c>
      <c r="B12" s="6" t="s">
        <v>107</v>
      </c>
      <c r="C12">
        <v>21</v>
      </c>
      <c r="D12" s="6" t="s">
        <v>55</v>
      </c>
      <c r="E12" s="6" t="s">
        <v>84</v>
      </c>
      <c r="F12" s="6" t="s">
        <v>881</v>
      </c>
      <c r="G12">
        <v>4</v>
      </c>
      <c r="H12" s="6" t="s">
        <v>908</v>
      </c>
      <c r="I12" s="5">
        <v>45457</v>
      </c>
      <c r="J12" s="5">
        <v>45294</v>
      </c>
      <c r="K12" s="6" t="s">
        <v>40</v>
      </c>
      <c r="L12" s="6" t="s">
        <v>913</v>
      </c>
      <c r="M12">
        <v>163</v>
      </c>
      <c r="N12">
        <v>1</v>
      </c>
      <c r="O12" s="6" t="s">
        <v>920</v>
      </c>
    </row>
    <row r="13" spans="1:15" x14ac:dyDescent="0.3">
      <c r="A13">
        <v>1493</v>
      </c>
      <c r="B13" s="6" t="s">
        <v>74</v>
      </c>
      <c r="C13">
        <v>23</v>
      </c>
      <c r="D13" s="6" t="s">
        <v>659</v>
      </c>
      <c r="E13" s="6" t="s">
        <v>25</v>
      </c>
      <c r="F13" s="6" t="s">
        <v>855</v>
      </c>
      <c r="G13">
        <v>5</v>
      </c>
      <c r="H13" s="6" t="s">
        <v>908</v>
      </c>
      <c r="I13" s="5">
        <v>45537</v>
      </c>
      <c r="J13" s="5">
        <v>45376</v>
      </c>
      <c r="K13" s="6" t="s">
        <v>20</v>
      </c>
      <c r="L13" s="6" t="s">
        <v>911</v>
      </c>
      <c r="M13">
        <v>161</v>
      </c>
      <c r="N13">
        <v>0</v>
      </c>
      <c r="O13" s="6" t="s">
        <v>920</v>
      </c>
    </row>
    <row r="14" spans="1:15" x14ac:dyDescent="0.3">
      <c r="A14">
        <v>1278</v>
      </c>
      <c r="B14" s="6" t="s">
        <v>74</v>
      </c>
      <c r="C14">
        <v>19</v>
      </c>
      <c r="D14" s="6" t="s">
        <v>55</v>
      </c>
      <c r="E14" s="6" t="s">
        <v>156</v>
      </c>
      <c r="F14" s="6" t="s">
        <v>723</v>
      </c>
      <c r="G14">
        <v>5</v>
      </c>
      <c r="H14" s="6" t="s">
        <v>17</v>
      </c>
      <c r="I14" s="5">
        <v>45354</v>
      </c>
      <c r="J14" s="5">
        <v>45506</v>
      </c>
      <c r="K14" s="6" t="s">
        <v>914</v>
      </c>
      <c r="L14" s="6" t="s">
        <v>910</v>
      </c>
      <c r="M14">
        <v>152</v>
      </c>
      <c r="N14">
        <v>0</v>
      </c>
      <c r="O14" s="6" t="s">
        <v>920</v>
      </c>
    </row>
    <row r="15" spans="1:15" x14ac:dyDescent="0.3">
      <c r="A15">
        <v>1481</v>
      </c>
      <c r="B15" s="6" t="s">
        <v>107</v>
      </c>
      <c r="C15">
        <v>23</v>
      </c>
      <c r="D15" s="6" t="s">
        <v>55</v>
      </c>
      <c r="E15" s="6" t="s">
        <v>156</v>
      </c>
      <c r="F15" s="6" t="s">
        <v>712</v>
      </c>
      <c r="G15">
        <v>4</v>
      </c>
      <c r="H15" s="6" t="s">
        <v>17</v>
      </c>
      <c r="I15" s="5">
        <v>45450</v>
      </c>
      <c r="J15" s="5">
        <v>45299</v>
      </c>
      <c r="K15" s="6" t="s">
        <v>20</v>
      </c>
      <c r="L15" s="6" t="s">
        <v>911</v>
      </c>
      <c r="M15">
        <v>151</v>
      </c>
      <c r="N15">
        <v>0</v>
      </c>
      <c r="O15" s="6" t="s">
        <v>920</v>
      </c>
    </row>
    <row r="16" spans="1:15" x14ac:dyDescent="0.3">
      <c r="A16">
        <v>1256</v>
      </c>
      <c r="B16" s="6" t="s">
        <v>155</v>
      </c>
      <c r="C16">
        <v>22</v>
      </c>
      <c r="D16" s="6" t="s">
        <v>659</v>
      </c>
      <c r="E16" s="6" t="s">
        <v>156</v>
      </c>
      <c r="F16" s="6" t="s">
        <v>817</v>
      </c>
      <c r="G16">
        <v>1</v>
      </c>
      <c r="H16" s="6" t="s">
        <v>17</v>
      </c>
      <c r="I16" s="5">
        <v>45389</v>
      </c>
      <c r="J16" s="5">
        <v>45536</v>
      </c>
      <c r="K16" s="6" t="s">
        <v>40</v>
      </c>
      <c r="L16" s="6" t="s">
        <v>910</v>
      </c>
      <c r="M16">
        <v>147</v>
      </c>
      <c r="N16">
        <v>1</v>
      </c>
      <c r="O16" s="6" t="s">
        <v>920</v>
      </c>
    </row>
    <row r="17" spans="1:15" x14ac:dyDescent="0.3">
      <c r="A17">
        <v>1003</v>
      </c>
      <c r="B17" s="6" t="s">
        <v>12</v>
      </c>
      <c r="C17">
        <v>22</v>
      </c>
      <c r="D17" s="6" t="s">
        <v>24</v>
      </c>
      <c r="E17" s="6" t="s">
        <v>25</v>
      </c>
      <c r="F17" s="6" t="s">
        <v>778</v>
      </c>
      <c r="G17">
        <v>1</v>
      </c>
      <c r="H17" s="6" t="s">
        <v>908</v>
      </c>
      <c r="I17" s="5">
        <v>45457</v>
      </c>
      <c r="J17" s="5">
        <v>45602</v>
      </c>
      <c r="K17" s="6" t="s">
        <v>40</v>
      </c>
      <c r="L17" s="6" t="s">
        <v>911</v>
      </c>
      <c r="M17">
        <v>145</v>
      </c>
      <c r="N17">
        <v>1</v>
      </c>
      <c r="O17" s="6" t="s">
        <v>920</v>
      </c>
    </row>
    <row r="18" spans="1:15" x14ac:dyDescent="0.3">
      <c r="A18">
        <v>1169</v>
      </c>
      <c r="B18" s="6" t="s">
        <v>136</v>
      </c>
      <c r="C18">
        <v>22</v>
      </c>
      <c r="D18" s="6" t="s">
        <v>24</v>
      </c>
      <c r="E18" s="6" t="s">
        <v>167</v>
      </c>
      <c r="F18" s="6" t="s">
        <v>878</v>
      </c>
      <c r="G18">
        <v>5</v>
      </c>
      <c r="H18" s="6" t="s">
        <v>28</v>
      </c>
      <c r="I18" s="5">
        <v>45437</v>
      </c>
      <c r="J18" s="5">
        <v>45295</v>
      </c>
      <c r="K18" s="6" t="s">
        <v>40</v>
      </c>
      <c r="L18" s="6" t="s">
        <v>911</v>
      </c>
      <c r="M18">
        <v>142</v>
      </c>
      <c r="N18">
        <v>1</v>
      </c>
      <c r="O18" s="6" t="s">
        <v>920</v>
      </c>
    </row>
    <row r="19" spans="1:15" x14ac:dyDescent="0.3">
      <c r="A19">
        <v>1468</v>
      </c>
      <c r="B19" s="6" t="s">
        <v>32</v>
      </c>
      <c r="C19">
        <v>19</v>
      </c>
      <c r="D19" s="6" t="s">
        <v>55</v>
      </c>
      <c r="E19" s="6" t="s">
        <v>84</v>
      </c>
      <c r="F19" s="6" t="s">
        <v>754</v>
      </c>
      <c r="G19">
        <v>5</v>
      </c>
      <c r="H19" s="6" t="s">
        <v>908</v>
      </c>
      <c r="I19" s="5">
        <v>45296</v>
      </c>
      <c r="J19" s="5">
        <v>45437</v>
      </c>
      <c r="K19" s="6" t="s">
        <v>40</v>
      </c>
      <c r="L19" s="6" t="s">
        <v>913</v>
      </c>
      <c r="M19">
        <v>141</v>
      </c>
      <c r="N19">
        <v>1</v>
      </c>
      <c r="O19" s="6" t="s">
        <v>920</v>
      </c>
    </row>
    <row r="20" spans="1:15" x14ac:dyDescent="0.3">
      <c r="A20">
        <v>1497</v>
      </c>
      <c r="B20" s="6" t="s">
        <v>163</v>
      </c>
      <c r="C20">
        <v>24</v>
      </c>
      <c r="D20" s="6" t="s">
        <v>24</v>
      </c>
      <c r="E20" s="6" t="s">
        <v>25</v>
      </c>
      <c r="F20" s="6" t="s">
        <v>871</v>
      </c>
      <c r="G20">
        <v>2</v>
      </c>
      <c r="H20" s="6" t="s">
        <v>908</v>
      </c>
      <c r="I20" s="5">
        <v>45292</v>
      </c>
      <c r="J20" s="5">
        <v>45431</v>
      </c>
      <c r="K20" s="6" t="s">
        <v>40</v>
      </c>
      <c r="L20" s="6" t="s">
        <v>909</v>
      </c>
      <c r="M20">
        <v>139</v>
      </c>
      <c r="N20">
        <v>1</v>
      </c>
      <c r="O20" s="6" t="s">
        <v>920</v>
      </c>
    </row>
    <row r="21" spans="1:15" x14ac:dyDescent="0.3">
      <c r="A21">
        <v>1312</v>
      </c>
      <c r="B21" s="6" t="s">
        <v>12</v>
      </c>
      <c r="C21">
        <v>25</v>
      </c>
      <c r="D21" s="6" t="s">
        <v>55</v>
      </c>
      <c r="E21" s="6" t="s">
        <v>167</v>
      </c>
      <c r="F21" s="6" t="s">
        <v>755</v>
      </c>
      <c r="G21">
        <v>5</v>
      </c>
      <c r="H21" s="6" t="s">
        <v>17</v>
      </c>
      <c r="I21" s="5">
        <v>45461</v>
      </c>
      <c r="J21" s="5">
        <v>45325</v>
      </c>
      <c r="K21" s="6" t="s">
        <v>40</v>
      </c>
      <c r="L21" s="6" t="s">
        <v>909</v>
      </c>
      <c r="M21">
        <v>136</v>
      </c>
      <c r="N21">
        <v>1</v>
      </c>
      <c r="O21" s="6" t="s">
        <v>920</v>
      </c>
    </row>
    <row r="22" spans="1:15" x14ac:dyDescent="0.3">
      <c r="A22">
        <v>1375</v>
      </c>
      <c r="B22" s="6" t="s">
        <v>74</v>
      </c>
      <c r="C22">
        <v>19</v>
      </c>
      <c r="D22" s="6" t="s">
        <v>55</v>
      </c>
      <c r="E22" s="6" t="s">
        <v>156</v>
      </c>
      <c r="F22" s="6" t="s">
        <v>864</v>
      </c>
      <c r="G22">
        <v>0</v>
      </c>
      <c r="H22" s="6" t="s">
        <v>17</v>
      </c>
      <c r="I22" s="5">
        <v>45475</v>
      </c>
      <c r="J22" s="5">
        <v>45339</v>
      </c>
      <c r="K22" s="6" t="s">
        <v>40</v>
      </c>
      <c r="L22" s="6" t="s">
        <v>1021</v>
      </c>
      <c r="M22">
        <v>136</v>
      </c>
      <c r="N22">
        <v>1</v>
      </c>
      <c r="O22" s="6" t="s">
        <v>920</v>
      </c>
    </row>
    <row r="23" spans="1:15" x14ac:dyDescent="0.3">
      <c r="A23">
        <v>1496</v>
      </c>
      <c r="B23" s="6" t="s">
        <v>12</v>
      </c>
      <c r="C23">
        <v>24</v>
      </c>
      <c r="D23" s="6" t="s">
        <v>55</v>
      </c>
      <c r="E23" s="6" t="s">
        <v>25</v>
      </c>
      <c r="F23" s="6" t="s">
        <v>846</v>
      </c>
      <c r="G23">
        <v>2</v>
      </c>
      <c r="H23" s="6" t="s">
        <v>908</v>
      </c>
      <c r="I23" s="5">
        <v>45313</v>
      </c>
      <c r="J23" s="5">
        <v>45447</v>
      </c>
      <c r="K23" s="6" t="s">
        <v>40</v>
      </c>
      <c r="L23" s="6" t="s">
        <v>911</v>
      </c>
      <c r="M23">
        <v>134</v>
      </c>
      <c r="N23">
        <v>1</v>
      </c>
      <c r="O23" s="6" t="s">
        <v>920</v>
      </c>
    </row>
    <row r="24" spans="1:15" x14ac:dyDescent="0.3">
      <c r="A24">
        <v>1324</v>
      </c>
      <c r="B24" s="6" t="s">
        <v>107</v>
      </c>
      <c r="C24">
        <v>19</v>
      </c>
      <c r="D24" s="6" t="s">
        <v>659</v>
      </c>
      <c r="E24" s="6" t="s">
        <v>25</v>
      </c>
      <c r="F24" s="6" t="s">
        <v>822</v>
      </c>
      <c r="G24">
        <v>1</v>
      </c>
      <c r="H24" s="6" t="s">
        <v>28</v>
      </c>
      <c r="I24" s="5">
        <v>45461</v>
      </c>
      <c r="J24" s="5">
        <v>45328</v>
      </c>
      <c r="K24" s="6" t="s">
        <v>40</v>
      </c>
      <c r="L24" s="6" t="s">
        <v>911</v>
      </c>
      <c r="M24">
        <v>133</v>
      </c>
      <c r="N24">
        <v>1</v>
      </c>
      <c r="O24" s="6" t="s">
        <v>920</v>
      </c>
    </row>
    <row r="25" spans="1:15" x14ac:dyDescent="0.3">
      <c r="A25">
        <v>1214</v>
      </c>
      <c r="B25" s="6" t="s">
        <v>22</v>
      </c>
      <c r="C25">
        <v>19</v>
      </c>
      <c r="D25" s="6" t="s">
        <v>55</v>
      </c>
      <c r="E25" s="6" t="s">
        <v>84</v>
      </c>
      <c r="F25" s="6" t="s">
        <v>669</v>
      </c>
      <c r="G25">
        <v>0</v>
      </c>
      <c r="H25" s="6" t="s">
        <v>908</v>
      </c>
      <c r="I25" s="5">
        <v>45310</v>
      </c>
      <c r="J25" s="5">
        <v>45439</v>
      </c>
      <c r="K25" s="6" t="s">
        <v>40</v>
      </c>
      <c r="L25" s="6" t="s">
        <v>910</v>
      </c>
      <c r="M25">
        <v>129</v>
      </c>
      <c r="N25">
        <v>1</v>
      </c>
      <c r="O25" s="6" t="s">
        <v>920</v>
      </c>
    </row>
    <row r="26" spans="1:15" x14ac:dyDescent="0.3">
      <c r="A26">
        <v>1366</v>
      </c>
      <c r="B26" s="6" t="s">
        <v>163</v>
      </c>
      <c r="C26">
        <v>20</v>
      </c>
      <c r="D26" s="6" t="s">
        <v>659</v>
      </c>
      <c r="E26" s="6" t="s">
        <v>84</v>
      </c>
      <c r="F26" s="6" t="s">
        <v>797</v>
      </c>
      <c r="G26">
        <v>0</v>
      </c>
      <c r="H26" s="6" t="s">
        <v>17</v>
      </c>
      <c r="I26" s="5">
        <v>45327</v>
      </c>
      <c r="J26" s="5">
        <v>45448</v>
      </c>
      <c r="K26" s="6" t="s">
        <v>20</v>
      </c>
      <c r="L26" s="6" t="s">
        <v>910</v>
      </c>
      <c r="M26">
        <v>121</v>
      </c>
      <c r="N26">
        <v>0</v>
      </c>
      <c r="O26" s="6" t="s">
        <v>920</v>
      </c>
    </row>
    <row r="27" spans="1:15" x14ac:dyDescent="0.3">
      <c r="A27">
        <v>1135</v>
      </c>
      <c r="B27" s="6" t="s">
        <v>32</v>
      </c>
      <c r="C27">
        <v>21</v>
      </c>
      <c r="D27" s="6" t="s">
        <v>55</v>
      </c>
      <c r="E27" s="6" t="s">
        <v>84</v>
      </c>
      <c r="F27" s="6" t="s">
        <v>699</v>
      </c>
      <c r="G27">
        <v>1</v>
      </c>
      <c r="H27" s="6" t="s">
        <v>28</v>
      </c>
      <c r="I27" s="5">
        <v>45311</v>
      </c>
      <c r="J27" s="5">
        <v>45429</v>
      </c>
      <c r="K27" s="6" t="s">
        <v>69</v>
      </c>
      <c r="L27" s="6" t="s">
        <v>1021</v>
      </c>
      <c r="M27">
        <v>118</v>
      </c>
      <c r="N27">
        <v>0</v>
      </c>
      <c r="O27" s="6" t="s">
        <v>920</v>
      </c>
    </row>
    <row r="28" spans="1:15" x14ac:dyDescent="0.3">
      <c r="A28">
        <v>1262</v>
      </c>
      <c r="B28" s="6" t="s">
        <v>74</v>
      </c>
      <c r="C28">
        <v>24</v>
      </c>
      <c r="D28" s="6" t="s">
        <v>659</v>
      </c>
      <c r="E28" s="6" t="s">
        <v>25</v>
      </c>
      <c r="F28" s="6" t="s">
        <v>783</v>
      </c>
      <c r="G28">
        <v>5</v>
      </c>
      <c r="H28" s="6" t="s">
        <v>908</v>
      </c>
      <c r="I28" s="5">
        <v>45462</v>
      </c>
      <c r="J28" s="5">
        <v>45347</v>
      </c>
      <c r="K28" s="6" t="s">
        <v>69</v>
      </c>
      <c r="L28" s="6" t="s">
        <v>909</v>
      </c>
      <c r="M28">
        <v>115</v>
      </c>
      <c r="N28">
        <v>0</v>
      </c>
      <c r="O28" s="6" t="s">
        <v>920</v>
      </c>
    </row>
    <row r="29" spans="1:15" x14ac:dyDescent="0.3">
      <c r="A29">
        <v>1014</v>
      </c>
      <c r="B29" s="6" t="s">
        <v>107</v>
      </c>
      <c r="C29">
        <v>22</v>
      </c>
      <c r="D29" s="6" t="s">
        <v>659</v>
      </c>
      <c r="E29" s="6" t="s">
        <v>25</v>
      </c>
      <c r="F29" s="6" t="s">
        <v>786</v>
      </c>
      <c r="G29">
        <v>2</v>
      </c>
      <c r="H29" s="6" t="s">
        <v>17</v>
      </c>
      <c r="I29" s="5">
        <v>45430</v>
      </c>
      <c r="J29" s="5">
        <v>45315</v>
      </c>
      <c r="K29" s="6" t="s">
        <v>40</v>
      </c>
      <c r="L29" s="6" t="s">
        <v>913</v>
      </c>
      <c r="M29">
        <v>115</v>
      </c>
      <c r="N29">
        <v>1</v>
      </c>
      <c r="O29" s="6" t="s">
        <v>920</v>
      </c>
    </row>
    <row r="30" spans="1:15" x14ac:dyDescent="0.3">
      <c r="A30">
        <v>1475</v>
      </c>
      <c r="B30" s="6" t="s">
        <v>74</v>
      </c>
      <c r="C30">
        <v>22</v>
      </c>
      <c r="D30" s="6" t="s">
        <v>55</v>
      </c>
      <c r="E30" s="6" t="s">
        <v>25</v>
      </c>
      <c r="F30" s="6" t="s">
        <v>767</v>
      </c>
      <c r="G30">
        <v>0</v>
      </c>
      <c r="H30" s="6" t="s">
        <v>28</v>
      </c>
      <c r="I30" s="5">
        <v>45426</v>
      </c>
      <c r="J30" s="5">
        <v>45312</v>
      </c>
      <c r="K30" s="6" t="s">
        <v>20</v>
      </c>
      <c r="L30" s="6" t="s">
        <v>1021</v>
      </c>
      <c r="M30">
        <v>114</v>
      </c>
      <c r="N30">
        <v>0</v>
      </c>
      <c r="O30" s="6" t="s">
        <v>920</v>
      </c>
    </row>
    <row r="31" spans="1:15" x14ac:dyDescent="0.3">
      <c r="A31">
        <v>1319</v>
      </c>
      <c r="B31" s="6" t="s">
        <v>155</v>
      </c>
      <c r="C31">
        <v>23</v>
      </c>
      <c r="D31" s="6" t="s">
        <v>55</v>
      </c>
      <c r="E31" s="6" t="s">
        <v>156</v>
      </c>
      <c r="F31" s="6" t="s">
        <v>842</v>
      </c>
      <c r="G31">
        <v>5</v>
      </c>
      <c r="H31" s="6" t="s">
        <v>17</v>
      </c>
      <c r="I31" s="5">
        <v>45333</v>
      </c>
      <c r="J31" s="5">
        <v>45447</v>
      </c>
      <c r="K31" s="6" t="s">
        <v>69</v>
      </c>
      <c r="L31" s="6" t="s">
        <v>910</v>
      </c>
      <c r="M31">
        <v>114</v>
      </c>
      <c r="N31">
        <v>0</v>
      </c>
      <c r="O31" s="6" t="s">
        <v>920</v>
      </c>
    </row>
    <row r="32" spans="1:15" x14ac:dyDescent="0.3">
      <c r="A32">
        <v>1391</v>
      </c>
      <c r="B32" s="6" t="s">
        <v>12</v>
      </c>
      <c r="C32">
        <v>23</v>
      </c>
      <c r="D32" s="6" t="s">
        <v>24</v>
      </c>
      <c r="E32" s="6" t="s">
        <v>25</v>
      </c>
      <c r="F32" s="6" t="s">
        <v>824</v>
      </c>
      <c r="G32">
        <v>1</v>
      </c>
      <c r="H32" s="6" t="s">
        <v>28</v>
      </c>
      <c r="I32" s="5">
        <v>45407</v>
      </c>
      <c r="J32" s="5">
        <v>45295</v>
      </c>
      <c r="K32" s="6" t="s">
        <v>40</v>
      </c>
      <c r="L32" s="6" t="s">
        <v>913</v>
      </c>
      <c r="M32">
        <v>112</v>
      </c>
      <c r="N32">
        <v>1</v>
      </c>
      <c r="O32" s="6" t="s">
        <v>920</v>
      </c>
    </row>
    <row r="33" spans="1:15" x14ac:dyDescent="0.3">
      <c r="A33">
        <v>1096</v>
      </c>
      <c r="B33" s="6" t="s">
        <v>22</v>
      </c>
      <c r="C33">
        <v>21</v>
      </c>
      <c r="D33" s="6" t="s">
        <v>24</v>
      </c>
      <c r="E33" s="6" t="s">
        <v>25</v>
      </c>
      <c r="F33" s="6" t="s">
        <v>685</v>
      </c>
      <c r="G33">
        <v>5</v>
      </c>
      <c r="H33" s="6" t="s">
        <v>908</v>
      </c>
      <c r="I33" s="5">
        <v>45345</v>
      </c>
      <c r="J33" s="5">
        <v>45456</v>
      </c>
      <c r="K33" s="6" t="s">
        <v>69</v>
      </c>
      <c r="L33" s="6" t="s">
        <v>910</v>
      </c>
      <c r="M33">
        <v>111</v>
      </c>
      <c r="N33">
        <v>0</v>
      </c>
      <c r="O33" s="6" t="s">
        <v>920</v>
      </c>
    </row>
    <row r="34" spans="1:15" x14ac:dyDescent="0.3">
      <c r="A34">
        <v>1430</v>
      </c>
      <c r="B34" s="6" t="s">
        <v>22</v>
      </c>
      <c r="C34">
        <v>22</v>
      </c>
      <c r="D34" s="6" t="s">
        <v>55</v>
      </c>
      <c r="E34" s="6" t="s">
        <v>84</v>
      </c>
      <c r="F34" s="6" t="s">
        <v>677</v>
      </c>
      <c r="G34">
        <v>5</v>
      </c>
      <c r="H34" s="6" t="s">
        <v>76</v>
      </c>
      <c r="I34" s="5">
        <v>45538</v>
      </c>
      <c r="J34" s="5">
        <v>45429</v>
      </c>
      <c r="K34" s="6" t="s">
        <v>40</v>
      </c>
      <c r="L34" s="6" t="s">
        <v>913</v>
      </c>
      <c r="M34">
        <v>109</v>
      </c>
      <c r="N34">
        <v>1</v>
      </c>
      <c r="O34" s="6" t="s">
        <v>920</v>
      </c>
    </row>
    <row r="35" spans="1:15" x14ac:dyDescent="0.3">
      <c r="A35">
        <v>1330</v>
      </c>
      <c r="B35" s="6" t="s">
        <v>107</v>
      </c>
      <c r="C35">
        <v>23</v>
      </c>
      <c r="D35" s="6" t="s">
        <v>55</v>
      </c>
      <c r="E35" s="6" t="s">
        <v>167</v>
      </c>
      <c r="F35" s="6" t="s">
        <v>798</v>
      </c>
      <c r="G35">
        <v>0</v>
      </c>
      <c r="H35" s="6" t="s">
        <v>908</v>
      </c>
      <c r="I35" s="5">
        <v>45432</v>
      </c>
      <c r="J35" s="5">
        <v>45324</v>
      </c>
      <c r="K35" s="6" t="s">
        <v>914</v>
      </c>
      <c r="L35" s="6" t="s">
        <v>911</v>
      </c>
      <c r="M35">
        <v>108</v>
      </c>
      <c r="N35">
        <v>0</v>
      </c>
      <c r="O35" s="6" t="s">
        <v>920</v>
      </c>
    </row>
    <row r="36" spans="1:15" x14ac:dyDescent="0.3">
      <c r="A36">
        <v>1440</v>
      </c>
      <c r="B36" s="6" t="s">
        <v>47</v>
      </c>
      <c r="C36">
        <v>18</v>
      </c>
      <c r="D36" s="6" t="s">
        <v>24</v>
      </c>
      <c r="E36" s="6" t="s">
        <v>167</v>
      </c>
      <c r="F36" s="6" t="s">
        <v>880</v>
      </c>
      <c r="G36">
        <v>3</v>
      </c>
      <c r="H36" s="6" t="s">
        <v>28</v>
      </c>
      <c r="I36" s="5">
        <v>45326</v>
      </c>
      <c r="J36" s="5">
        <v>45431</v>
      </c>
      <c r="K36" s="6" t="s">
        <v>40</v>
      </c>
      <c r="L36" s="6" t="s">
        <v>1021</v>
      </c>
      <c r="M36">
        <v>105</v>
      </c>
      <c r="N36">
        <v>1</v>
      </c>
      <c r="O36" s="6" t="s">
        <v>920</v>
      </c>
    </row>
    <row r="37" spans="1:15" x14ac:dyDescent="0.3">
      <c r="A37">
        <v>1434</v>
      </c>
      <c r="B37" s="6" t="s">
        <v>136</v>
      </c>
      <c r="C37">
        <v>19</v>
      </c>
      <c r="D37" s="6" t="s">
        <v>24</v>
      </c>
      <c r="E37" s="6" t="s">
        <v>25</v>
      </c>
      <c r="F37" s="6" t="s">
        <v>753</v>
      </c>
      <c r="G37">
        <v>5</v>
      </c>
      <c r="H37" s="6" t="s">
        <v>17</v>
      </c>
      <c r="I37" s="5">
        <v>45324</v>
      </c>
      <c r="J37" s="5">
        <v>45426</v>
      </c>
      <c r="K37" s="6" t="s">
        <v>69</v>
      </c>
      <c r="L37" s="6" t="s">
        <v>913</v>
      </c>
      <c r="M37">
        <v>102</v>
      </c>
      <c r="N37">
        <v>0</v>
      </c>
      <c r="O37" s="6" t="s">
        <v>920</v>
      </c>
    </row>
    <row r="38" spans="1:15" x14ac:dyDescent="0.3">
      <c r="A38">
        <v>1247</v>
      </c>
      <c r="B38" s="6" t="s">
        <v>22</v>
      </c>
      <c r="C38">
        <v>24</v>
      </c>
      <c r="D38" s="6" t="s">
        <v>659</v>
      </c>
      <c r="E38" s="6" t="s">
        <v>156</v>
      </c>
      <c r="F38" s="6" t="s">
        <v>877</v>
      </c>
      <c r="G38">
        <v>4</v>
      </c>
      <c r="H38" s="6" t="s">
        <v>17</v>
      </c>
      <c r="I38" s="5">
        <v>45398</v>
      </c>
      <c r="J38" s="5">
        <v>45296</v>
      </c>
      <c r="K38" s="6" t="s">
        <v>20</v>
      </c>
      <c r="L38" s="6" t="s">
        <v>909</v>
      </c>
      <c r="M38">
        <v>102</v>
      </c>
      <c r="N38">
        <v>0</v>
      </c>
      <c r="O38" s="6" t="s">
        <v>920</v>
      </c>
    </row>
    <row r="39" spans="1:15" x14ac:dyDescent="0.3">
      <c r="A39">
        <v>1002</v>
      </c>
      <c r="B39" s="6" t="s">
        <v>32</v>
      </c>
      <c r="C39">
        <v>22</v>
      </c>
      <c r="D39" s="6" t="s">
        <v>659</v>
      </c>
      <c r="E39" s="6" t="s">
        <v>25</v>
      </c>
      <c r="F39" s="6" t="s">
        <v>691</v>
      </c>
      <c r="G39">
        <v>4</v>
      </c>
      <c r="H39" s="6" t="s">
        <v>76</v>
      </c>
      <c r="I39" s="5">
        <v>45308</v>
      </c>
      <c r="J39" s="5">
        <v>45408</v>
      </c>
      <c r="K39" s="6" t="s">
        <v>69</v>
      </c>
      <c r="L39" s="6" t="s">
        <v>1021</v>
      </c>
      <c r="M39">
        <v>100</v>
      </c>
      <c r="N39">
        <v>0</v>
      </c>
      <c r="O39" s="6" t="s">
        <v>920</v>
      </c>
    </row>
    <row r="40" spans="1:15" x14ac:dyDescent="0.3">
      <c r="A40">
        <v>1340</v>
      </c>
      <c r="B40" s="6" t="s">
        <v>155</v>
      </c>
      <c r="C40">
        <v>25</v>
      </c>
      <c r="D40" s="6" t="s">
        <v>55</v>
      </c>
      <c r="E40" s="6" t="s">
        <v>167</v>
      </c>
      <c r="F40" s="6" t="s">
        <v>692</v>
      </c>
      <c r="G40">
        <v>1</v>
      </c>
      <c r="H40" s="6" t="s">
        <v>28</v>
      </c>
      <c r="I40" s="5">
        <v>45505</v>
      </c>
      <c r="J40" s="5">
        <v>45405</v>
      </c>
      <c r="K40" s="6" t="s">
        <v>40</v>
      </c>
      <c r="L40" s="6" t="s">
        <v>913</v>
      </c>
      <c r="M40">
        <v>100</v>
      </c>
      <c r="N40">
        <v>1</v>
      </c>
      <c r="O40" s="6" t="s">
        <v>920</v>
      </c>
    </row>
    <row r="41" spans="1:15" x14ac:dyDescent="0.3">
      <c r="A41">
        <v>1460</v>
      </c>
      <c r="B41" s="6" t="s">
        <v>120</v>
      </c>
      <c r="C41">
        <v>18</v>
      </c>
      <c r="D41" s="6" t="s">
        <v>24</v>
      </c>
      <c r="E41" s="6" t="s">
        <v>156</v>
      </c>
      <c r="F41" s="6" t="s">
        <v>831</v>
      </c>
      <c r="G41">
        <v>4</v>
      </c>
      <c r="H41" s="6" t="s">
        <v>17</v>
      </c>
      <c r="I41" s="5">
        <v>45298</v>
      </c>
      <c r="J41" s="5">
        <v>45397</v>
      </c>
      <c r="K41" s="6" t="s">
        <v>69</v>
      </c>
      <c r="L41" s="6" t="s">
        <v>1021</v>
      </c>
      <c r="M41">
        <v>99</v>
      </c>
      <c r="N41">
        <v>0</v>
      </c>
      <c r="O41" s="6" t="s">
        <v>920</v>
      </c>
    </row>
    <row r="42" spans="1:15" x14ac:dyDescent="0.3">
      <c r="A42">
        <v>1380</v>
      </c>
      <c r="B42" s="6" t="s">
        <v>107</v>
      </c>
      <c r="C42">
        <v>25</v>
      </c>
      <c r="D42" s="6" t="s">
        <v>55</v>
      </c>
      <c r="E42" s="6" t="s">
        <v>156</v>
      </c>
      <c r="F42" s="6" t="s">
        <v>702</v>
      </c>
      <c r="G42">
        <v>5</v>
      </c>
      <c r="H42" s="6" t="s">
        <v>76</v>
      </c>
      <c r="I42" s="5">
        <v>45456</v>
      </c>
      <c r="J42" s="5">
        <v>45359</v>
      </c>
      <c r="K42" s="6" t="s">
        <v>40</v>
      </c>
      <c r="L42" s="6" t="s">
        <v>909</v>
      </c>
      <c r="M42">
        <v>97</v>
      </c>
      <c r="N42">
        <v>1</v>
      </c>
      <c r="O42" s="6" t="s">
        <v>920</v>
      </c>
    </row>
    <row r="43" spans="1:15" x14ac:dyDescent="0.3">
      <c r="A43">
        <v>1139</v>
      </c>
      <c r="B43" s="6" t="s">
        <v>22</v>
      </c>
      <c r="C43">
        <v>22</v>
      </c>
      <c r="D43" s="6" t="s">
        <v>659</v>
      </c>
      <c r="E43" s="6" t="s">
        <v>84</v>
      </c>
      <c r="F43" s="6" t="s">
        <v>772</v>
      </c>
      <c r="G43">
        <v>4</v>
      </c>
      <c r="H43" s="6" t="s">
        <v>28</v>
      </c>
      <c r="I43" s="5">
        <v>45570</v>
      </c>
      <c r="J43" s="5">
        <v>45474</v>
      </c>
      <c r="K43" s="6" t="s">
        <v>40</v>
      </c>
      <c r="L43" s="6" t="s">
        <v>1021</v>
      </c>
      <c r="M43">
        <v>96</v>
      </c>
      <c r="N43">
        <v>1</v>
      </c>
      <c r="O43" s="6" t="s">
        <v>920</v>
      </c>
    </row>
    <row r="44" spans="1:15" x14ac:dyDescent="0.3">
      <c r="A44">
        <v>1357</v>
      </c>
      <c r="B44" s="6" t="s">
        <v>117</v>
      </c>
      <c r="C44">
        <v>25</v>
      </c>
      <c r="D44" s="6" t="s">
        <v>24</v>
      </c>
      <c r="E44" s="6" t="s">
        <v>84</v>
      </c>
      <c r="F44" s="6" t="s">
        <v>892</v>
      </c>
      <c r="G44">
        <v>1</v>
      </c>
      <c r="H44" s="6" t="s">
        <v>76</v>
      </c>
      <c r="I44" s="5">
        <v>45313</v>
      </c>
      <c r="J44" s="5">
        <v>45408</v>
      </c>
      <c r="K44" s="6" t="s">
        <v>69</v>
      </c>
      <c r="L44" s="6" t="s">
        <v>1021</v>
      </c>
      <c r="M44">
        <v>95</v>
      </c>
      <c r="N44">
        <v>0</v>
      </c>
      <c r="O44" s="6" t="s">
        <v>920</v>
      </c>
    </row>
    <row r="45" spans="1:15" x14ac:dyDescent="0.3">
      <c r="A45">
        <v>1300</v>
      </c>
      <c r="B45" s="6" t="s">
        <v>163</v>
      </c>
      <c r="C45">
        <v>22</v>
      </c>
      <c r="D45" s="6" t="s">
        <v>659</v>
      </c>
      <c r="E45" s="6" t="s">
        <v>25</v>
      </c>
      <c r="F45" s="6" t="s">
        <v>833</v>
      </c>
      <c r="G45">
        <v>5</v>
      </c>
      <c r="H45" s="6" t="s">
        <v>17</v>
      </c>
      <c r="I45" s="5">
        <v>45360</v>
      </c>
      <c r="J45" s="5">
        <v>45454</v>
      </c>
      <c r="K45" s="6" t="s">
        <v>40</v>
      </c>
      <c r="L45" s="6" t="s">
        <v>913</v>
      </c>
      <c r="M45">
        <v>94</v>
      </c>
      <c r="N45">
        <v>1</v>
      </c>
      <c r="O45" s="6" t="s">
        <v>920</v>
      </c>
    </row>
    <row r="46" spans="1:15" x14ac:dyDescent="0.3">
      <c r="A46">
        <v>1158</v>
      </c>
      <c r="B46" s="6" t="s">
        <v>74</v>
      </c>
      <c r="C46">
        <v>21</v>
      </c>
      <c r="D46" s="6" t="s">
        <v>659</v>
      </c>
      <c r="E46" s="6" t="s">
        <v>167</v>
      </c>
      <c r="F46" s="6" t="s">
        <v>732</v>
      </c>
      <c r="G46">
        <v>0</v>
      </c>
      <c r="H46" s="6" t="s">
        <v>17</v>
      </c>
      <c r="I46" s="5">
        <v>45379</v>
      </c>
      <c r="J46" s="5">
        <v>45471</v>
      </c>
      <c r="K46" s="6" t="s">
        <v>40</v>
      </c>
      <c r="L46" s="6" t="s">
        <v>910</v>
      </c>
      <c r="M46">
        <v>92</v>
      </c>
      <c r="N46">
        <v>1</v>
      </c>
      <c r="O46" s="6" t="s">
        <v>920</v>
      </c>
    </row>
    <row r="47" spans="1:15" x14ac:dyDescent="0.3">
      <c r="A47">
        <v>1371</v>
      </c>
      <c r="B47" s="6" t="s">
        <v>155</v>
      </c>
      <c r="C47">
        <v>20</v>
      </c>
      <c r="D47" s="6" t="s">
        <v>24</v>
      </c>
      <c r="E47" s="6" t="s">
        <v>84</v>
      </c>
      <c r="F47" s="6" t="s">
        <v>736</v>
      </c>
      <c r="G47">
        <v>2</v>
      </c>
      <c r="H47" s="6" t="s">
        <v>76</v>
      </c>
      <c r="I47" s="5">
        <v>45373</v>
      </c>
      <c r="J47" s="5">
        <v>45465</v>
      </c>
      <c r="K47" s="6" t="s">
        <v>40</v>
      </c>
      <c r="L47" s="6" t="s">
        <v>913</v>
      </c>
      <c r="M47">
        <v>92</v>
      </c>
      <c r="N47">
        <v>1</v>
      </c>
      <c r="O47" s="6" t="s">
        <v>920</v>
      </c>
    </row>
    <row r="48" spans="1:15" x14ac:dyDescent="0.3">
      <c r="A48">
        <v>1305</v>
      </c>
      <c r="B48" s="6" t="s">
        <v>163</v>
      </c>
      <c r="C48">
        <v>21</v>
      </c>
      <c r="D48" s="6" t="s">
        <v>24</v>
      </c>
      <c r="E48" s="6" t="s">
        <v>156</v>
      </c>
      <c r="F48" s="6" t="s">
        <v>688</v>
      </c>
      <c r="G48">
        <v>5</v>
      </c>
      <c r="H48" s="6" t="s">
        <v>17</v>
      </c>
      <c r="I48" s="5">
        <v>45312</v>
      </c>
      <c r="J48" s="5">
        <v>45403</v>
      </c>
      <c r="K48" s="6" t="s">
        <v>69</v>
      </c>
      <c r="L48" s="6" t="s">
        <v>1021</v>
      </c>
      <c r="M48">
        <v>91</v>
      </c>
      <c r="N48">
        <v>0</v>
      </c>
      <c r="O48" s="6" t="s">
        <v>920</v>
      </c>
    </row>
    <row r="49" spans="1:15" x14ac:dyDescent="0.3">
      <c r="A49">
        <v>1047</v>
      </c>
      <c r="B49" s="6" t="s">
        <v>32</v>
      </c>
      <c r="C49">
        <v>21</v>
      </c>
      <c r="D49" s="6" t="s">
        <v>24</v>
      </c>
      <c r="E49" s="6" t="s">
        <v>84</v>
      </c>
      <c r="F49" s="6" t="s">
        <v>674</v>
      </c>
      <c r="G49">
        <v>5</v>
      </c>
      <c r="H49" s="6" t="s">
        <v>17</v>
      </c>
      <c r="I49" s="5">
        <v>45451</v>
      </c>
      <c r="J49" s="5">
        <v>45539</v>
      </c>
      <c r="K49" s="6" t="s">
        <v>40</v>
      </c>
      <c r="L49" s="6" t="s">
        <v>913</v>
      </c>
      <c r="M49">
        <v>88</v>
      </c>
      <c r="N49">
        <v>1</v>
      </c>
      <c r="O49" s="6" t="s">
        <v>920</v>
      </c>
    </row>
    <row r="50" spans="1:15" x14ac:dyDescent="0.3">
      <c r="A50">
        <v>1126</v>
      </c>
      <c r="B50" s="6" t="s">
        <v>107</v>
      </c>
      <c r="C50">
        <v>20</v>
      </c>
      <c r="D50" s="6" t="s">
        <v>55</v>
      </c>
      <c r="E50" s="6" t="s">
        <v>156</v>
      </c>
      <c r="F50" s="6" t="s">
        <v>673</v>
      </c>
      <c r="G50">
        <v>5</v>
      </c>
      <c r="H50" s="6" t="s">
        <v>28</v>
      </c>
      <c r="I50" s="5">
        <v>45305</v>
      </c>
      <c r="J50" s="5">
        <v>45392</v>
      </c>
      <c r="K50" s="6" t="s">
        <v>69</v>
      </c>
      <c r="L50" s="6" t="s">
        <v>910</v>
      </c>
      <c r="M50">
        <v>87</v>
      </c>
      <c r="N50">
        <v>0</v>
      </c>
      <c r="O50" s="6" t="s">
        <v>920</v>
      </c>
    </row>
    <row r="51" spans="1:15" x14ac:dyDescent="0.3">
      <c r="A51">
        <v>1265</v>
      </c>
      <c r="B51" s="6" t="s">
        <v>74</v>
      </c>
      <c r="C51">
        <v>18</v>
      </c>
      <c r="D51" s="6" t="s">
        <v>55</v>
      </c>
      <c r="E51" s="6" t="s">
        <v>84</v>
      </c>
      <c r="F51" s="6" t="s">
        <v>784</v>
      </c>
      <c r="G51">
        <v>1</v>
      </c>
      <c r="H51" s="6" t="s">
        <v>908</v>
      </c>
      <c r="I51" s="5">
        <v>45360</v>
      </c>
      <c r="J51" s="5">
        <v>45447</v>
      </c>
      <c r="K51" s="6" t="s">
        <v>69</v>
      </c>
      <c r="L51" s="6" t="s">
        <v>913</v>
      </c>
      <c r="M51">
        <v>87</v>
      </c>
      <c r="N51">
        <v>0</v>
      </c>
      <c r="O51" s="6" t="s">
        <v>920</v>
      </c>
    </row>
    <row r="52" spans="1:15" x14ac:dyDescent="0.3">
      <c r="A52">
        <v>1323</v>
      </c>
      <c r="B52" s="6" t="s">
        <v>47</v>
      </c>
      <c r="C52">
        <v>19</v>
      </c>
      <c r="D52" s="6" t="s">
        <v>55</v>
      </c>
      <c r="E52" s="6" t="s">
        <v>156</v>
      </c>
      <c r="F52" s="6" t="s">
        <v>832</v>
      </c>
      <c r="G52">
        <v>0</v>
      </c>
      <c r="H52" s="6" t="s">
        <v>28</v>
      </c>
      <c r="I52" s="5">
        <v>45470</v>
      </c>
      <c r="J52" s="5">
        <v>45384</v>
      </c>
      <c r="K52" s="6" t="s">
        <v>40</v>
      </c>
      <c r="L52" s="6" t="s">
        <v>1021</v>
      </c>
      <c r="M52">
        <v>86</v>
      </c>
      <c r="N52">
        <v>1</v>
      </c>
      <c r="O52" s="6" t="s">
        <v>920</v>
      </c>
    </row>
    <row r="53" spans="1:15" x14ac:dyDescent="0.3">
      <c r="A53">
        <v>1373</v>
      </c>
      <c r="B53" s="6" t="s">
        <v>12</v>
      </c>
      <c r="C53">
        <v>21</v>
      </c>
      <c r="D53" s="6" t="s">
        <v>24</v>
      </c>
      <c r="E53" s="6" t="s">
        <v>84</v>
      </c>
      <c r="F53" s="6" t="s">
        <v>763</v>
      </c>
      <c r="G53">
        <v>5</v>
      </c>
      <c r="H53" s="6" t="s">
        <v>908</v>
      </c>
      <c r="I53" s="5">
        <v>45428</v>
      </c>
      <c r="J53" s="5">
        <v>45343</v>
      </c>
      <c r="K53" s="6" t="s">
        <v>40</v>
      </c>
      <c r="L53" s="6" t="s">
        <v>913</v>
      </c>
      <c r="M53">
        <v>85</v>
      </c>
      <c r="N53">
        <v>1</v>
      </c>
      <c r="O53" s="6" t="s">
        <v>920</v>
      </c>
    </row>
    <row r="54" spans="1:15" x14ac:dyDescent="0.3">
      <c r="A54">
        <v>1076</v>
      </c>
      <c r="B54" s="6" t="s">
        <v>120</v>
      </c>
      <c r="C54">
        <v>21</v>
      </c>
      <c r="D54" s="6" t="s">
        <v>659</v>
      </c>
      <c r="E54" s="6" t="s">
        <v>84</v>
      </c>
      <c r="F54" s="6" t="s">
        <v>713</v>
      </c>
      <c r="G54">
        <v>2</v>
      </c>
      <c r="H54" s="6" t="s">
        <v>908</v>
      </c>
      <c r="I54" s="5">
        <v>45318</v>
      </c>
      <c r="J54" s="5">
        <v>45401</v>
      </c>
      <c r="K54" s="6" t="s">
        <v>40</v>
      </c>
      <c r="L54" s="6" t="s">
        <v>911</v>
      </c>
      <c r="M54">
        <v>83</v>
      </c>
      <c r="N54">
        <v>1</v>
      </c>
      <c r="O54" s="6" t="s">
        <v>920</v>
      </c>
    </row>
    <row r="55" spans="1:15" x14ac:dyDescent="0.3">
      <c r="A55">
        <v>1476</v>
      </c>
      <c r="B55" s="6" t="s">
        <v>12</v>
      </c>
      <c r="C55">
        <v>21</v>
      </c>
      <c r="D55" s="6" t="s">
        <v>55</v>
      </c>
      <c r="E55" s="6" t="s">
        <v>25</v>
      </c>
      <c r="F55" s="6" t="s">
        <v>661</v>
      </c>
      <c r="G55">
        <v>0</v>
      </c>
      <c r="H55" s="6" t="s">
        <v>17</v>
      </c>
      <c r="I55" s="5">
        <v>45426</v>
      </c>
      <c r="J55" s="5">
        <v>45508</v>
      </c>
      <c r="K55" s="6" t="s">
        <v>69</v>
      </c>
      <c r="L55" s="6" t="s">
        <v>909</v>
      </c>
      <c r="M55">
        <v>82</v>
      </c>
      <c r="N55">
        <v>0</v>
      </c>
      <c r="O55" s="6" t="s">
        <v>920</v>
      </c>
    </row>
    <row r="56" spans="1:15" x14ac:dyDescent="0.3">
      <c r="A56">
        <v>1238</v>
      </c>
      <c r="B56" s="6" t="s">
        <v>107</v>
      </c>
      <c r="C56">
        <v>21</v>
      </c>
      <c r="D56" s="6" t="s">
        <v>55</v>
      </c>
      <c r="E56" s="6" t="s">
        <v>25</v>
      </c>
      <c r="F56" s="6" t="s">
        <v>887</v>
      </c>
      <c r="G56">
        <v>5</v>
      </c>
      <c r="H56" s="6" t="s">
        <v>908</v>
      </c>
      <c r="I56" s="5">
        <v>45329</v>
      </c>
      <c r="J56" s="5">
        <v>45409</v>
      </c>
      <c r="K56" s="6" t="s">
        <v>40</v>
      </c>
      <c r="L56" s="6" t="s">
        <v>909</v>
      </c>
      <c r="M56">
        <v>80</v>
      </c>
      <c r="N56">
        <v>1</v>
      </c>
      <c r="O56" s="6" t="s">
        <v>920</v>
      </c>
    </row>
    <row r="57" spans="1:15" x14ac:dyDescent="0.3">
      <c r="A57">
        <v>1123</v>
      </c>
      <c r="B57" s="6" t="s">
        <v>22</v>
      </c>
      <c r="C57">
        <v>20</v>
      </c>
      <c r="D57" s="6" t="s">
        <v>55</v>
      </c>
      <c r="E57" s="6" t="s">
        <v>84</v>
      </c>
      <c r="F57" s="6" t="s">
        <v>667</v>
      </c>
      <c r="G57">
        <v>3</v>
      </c>
      <c r="H57" s="6" t="s">
        <v>17</v>
      </c>
      <c r="I57" s="5">
        <v>45444</v>
      </c>
      <c r="J57" s="5">
        <v>45365</v>
      </c>
      <c r="K57" s="6" t="s">
        <v>40</v>
      </c>
      <c r="L57" s="6" t="s">
        <v>909</v>
      </c>
      <c r="M57">
        <v>79</v>
      </c>
      <c r="N57">
        <v>1</v>
      </c>
      <c r="O57" s="6" t="s">
        <v>920</v>
      </c>
    </row>
    <row r="58" spans="1:15" x14ac:dyDescent="0.3">
      <c r="A58">
        <v>1314</v>
      </c>
      <c r="B58" s="6" t="s">
        <v>47</v>
      </c>
      <c r="C58">
        <v>19</v>
      </c>
      <c r="D58" s="6" t="s">
        <v>659</v>
      </c>
      <c r="E58" s="6" t="s">
        <v>25</v>
      </c>
      <c r="F58" s="6" t="s">
        <v>721</v>
      </c>
      <c r="G58">
        <v>5</v>
      </c>
      <c r="H58" s="6" t="s">
        <v>28</v>
      </c>
      <c r="I58" s="5">
        <v>45377</v>
      </c>
      <c r="J58" s="5">
        <v>45298</v>
      </c>
      <c r="K58" s="6" t="s">
        <v>40</v>
      </c>
      <c r="L58" s="6" t="s">
        <v>909</v>
      </c>
      <c r="M58">
        <v>79</v>
      </c>
      <c r="N58">
        <v>1</v>
      </c>
      <c r="O58" s="6" t="s">
        <v>920</v>
      </c>
    </row>
    <row r="59" spans="1:15" x14ac:dyDescent="0.3">
      <c r="A59">
        <v>1411</v>
      </c>
      <c r="B59" s="6" t="s">
        <v>22</v>
      </c>
      <c r="C59">
        <v>21</v>
      </c>
      <c r="D59" s="6" t="s">
        <v>55</v>
      </c>
      <c r="E59" s="6" t="s">
        <v>25</v>
      </c>
      <c r="F59" s="6" t="s">
        <v>729</v>
      </c>
      <c r="G59">
        <v>0</v>
      </c>
      <c r="H59" s="6" t="s">
        <v>908</v>
      </c>
      <c r="I59" s="5">
        <v>45417</v>
      </c>
      <c r="J59" s="5">
        <v>45340</v>
      </c>
      <c r="K59" s="6" t="s">
        <v>40</v>
      </c>
      <c r="L59" s="6" t="s">
        <v>911</v>
      </c>
      <c r="M59">
        <v>77</v>
      </c>
      <c r="N59">
        <v>1</v>
      </c>
      <c r="O59" s="6" t="s">
        <v>920</v>
      </c>
    </row>
    <row r="60" spans="1:15" x14ac:dyDescent="0.3">
      <c r="A60">
        <v>1065</v>
      </c>
      <c r="B60" s="6" t="s">
        <v>32</v>
      </c>
      <c r="C60">
        <v>19</v>
      </c>
      <c r="D60" s="6" t="s">
        <v>659</v>
      </c>
      <c r="E60" s="6" t="s">
        <v>167</v>
      </c>
      <c r="F60" s="6" t="s">
        <v>860</v>
      </c>
      <c r="G60">
        <v>2</v>
      </c>
      <c r="H60" s="6" t="s">
        <v>17</v>
      </c>
      <c r="I60" s="5">
        <v>45387</v>
      </c>
      <c r="J60" s="5">
        <v>45310</v>
      </c>
      <c r="K60" s="6" t="s">
        <v>40</v>
      </c>
      <c r="L60" s="6" t="s">
        <v>1021</v>
      </c>
      <c r="M60">
        <v>77</v>
      </c>
      <c r="N60">
        <v>1</v>
      </c>
      <c r="O60" s="6" t="s">
        <v>920</v>
      </c>
    </row>
    <row r="61" spans="1:15" x14ac:dyDescent="0.3">
      <c r="A61">
        <v>1176</v>
      </c>
      <c r="B61" s="6" t="s">
        <v>74</v>
      </c>
      <c r="C61">
        <v>22</v>
      </c>
      <c r="D61" s="6" t="s">
        <v>24</v>
      </c>
      <c r="E61" s="6" t="s">
        <v>25</v>
      </c>
      <c r="F61" s="6" t="s">
        <v>698</v>
      </c>
      <c r="G61">
        <v>4</v>
      </c>
      <c r="H61" s="6" t="s">
        <v>908</v>
      </c>
      <c r="I61" s="5">
        <v>45399</v>
      </c>
      <c r="J61" s="5">
        <v>45323</v>
      </c>
      <c r="K61" s="6" t="s">
        <v>69</v>
      </c>
      <c r="L61" s="6" t="s">
        <v>909</v>
      </c>
      <c r="M61">
        <v>76</v>
      </c>
      <c r="N61">
        <v>0</v>
      </c>
      <c r="O61" s="6" t="s">
        <v>920</v>
      </c>
    </row>
    <row r="62" spans="1:15" x14ac:dyDescent="0.3">
      <c r="A62">
        <v>1321</v>
      </c>
      <c r="B62" s="6" t="s">
        <v>74</v>
      </c>
      <c r="C62">
        <v>19</v>
      </c>
      <c r="D62" s="6" t="s">
        <v>24</v>
      </c>
      <c r="E62" s="6" t="s">
        <v>167</v>
      </c>
      <c r="F62" s="6" t="s">
        <v>828</v>
      </c>
      <c r="G62">
        <v>4</v>
      </c>
      <c r="H62" s="6" t="s">
        <v>17</v>
      </c>
      <c r="I62" s="5">
        <v>45339</v>
      </c>
      <c r="J62" s="5">
        <v>45414</v>
      </c>
      <c r="K62" s="6" t="s">
        <v>40</v>
      </c>
      <c r="L62" s="6" t="s">
        <v>909</v>
      </c>
      <c r="M62">
        <v>75</v>
      </c>
      <c r="N62">
        <v>1</v>
      </c>
      <c r="O62" s="6" t="s">
        <v>920</v>
      </c>
    </row>
    <row r="63" spans="1:15" x14ac:dyDescent="0.3">
      <c r="A63">
        <v>1322</v>
      </c>
      <c r="B63" s="6" t="s">
        <v>136</v>
      </c>
      <c r="C63">
        <v>21</v>
      </c>
      <c r="D63" s="6" t="s">
        <v>24</v>
      </c>
      <c r="E63" s="6" t="s">
        <v>84</v>
      </c>
      <c r="F63" s="6" t="s">
        <v>694</v>
      </c>
      <c r="G63">
        <v>4</v>
      </c>
      <c r="H63" s="6" t="s">
        <v>17</v>
      </c>
      <c r="I63" s="5">
        <v>45384</v>
      </c>
      <c r="J63" s="5">
        <v>45311</v>
      </c>
      <c r="K63" s="6" t="s">
        <v>40</v>
      </c>
      <c r="L63" s="6" t="s">
        <v>910</v>
      </c>
      <c r="M63">
        <v>73</v>
      </c>
      <c r="N63">
        <v>1</v>
      </c>
      <c r="O63" s="6" t="s">
        <v>920</v>
      </c>
    </row>
    <row r="64" spans="1:15" x14ac:dyDescent="0.3">
      <c r="A64">
        <v>1361</v>
      </c>
      <c r="B64" s="6" t="s">
        <v>74</v>
      </c>
      <c r="C64">
        <v>25</v>
      </c>
      <c r="D64" s="6" t="s">
        <v>55</v>
      </c>
      <c r="E64" s="6" t="s">
        <v>25</v>
      </c>
      <c r="F64" s="6" t="s">
        <v>700</v>
      </c>
      <c r="G64">
        <v>5</v>
      </c>
      <c r="H64" s="6" t="s">
        <v>908</v>
      </c>
      <c r="I64" s="5">
        <v>45336</v>
      </c>
      <c r="J64" s="5">
        <v>45409</v>
      </c>
      <c r="K64" s="6" t="s">
        <v>40</v>
      </c>
      <c r="L64" s="6" t="s">
        <v>913</v>
      </c>
      <c r="M64">
        <v>73</v>
      </c>
      <c r="N64">
        <v>1</v>
      </c>
      <c r="O64" s="6" t="s">
        <v>920</v>
      </c>
    </row>
    <row r="65" spans="1:15" x14ac:dyDescent="0.3">
      <c r="A65">
        <v>1424</v>
      </c>
      <c r="B65" s="6" t="s">
        <v>74</v>
      </c>
      <c r="C65">
        <v>22</v>
      </c>
      <c r="D65" s="6" t="s">
        <v>659</v>
      </c>
      <c r="E65" s="6" t="s">
        <v>167</v>
      </c>
      <c r="F65" s="6" t="s">
        <v>849</v>
      </c>
      <c r="G65">
        <v>5</v>
      </c>
      <c r="H65" s="6" t="s">
        <v>908</v>
      </c>
      <c r="I65" s="5">
        <v>45310</v>
      </c>
      <c r="J65" s="5">
        <v>45383</v>
      </c>
      <c r="K65" s="6" t="s">
        <v>20</v>
      </c>
      <c r="L65" s="6" t="s">
        <v>913</v>
      </c>
      <c r="M65">
        <v>73</v>
      </c>
      <c r="N65">
        <v>0</v>
      </c>
      <c r="O65" s="6" t="s">
        <v>920</v>
      </c>
    </row>
    <row r="66" spans="1:15" x14ac:dyDescent="0.3">
      <c r="A66">
        <v>1365</v>
      </c>
      <c r="B66" s="6" t="s">
        <v>22</v>
      </c>
      <c r="C66">
        <v>24</v>
      </c>
      <c r="D66" s="6" t="s">
        <v>659</v>
      </c>
      <c r="E66" s="6" t="s">
        <v>156</v>
      </c>
      <c r="F66" s="6" t="s">
        <v>735</v>
      </c>
      <c r="G66">
        <v>1</v>
      </c>
      <c r="H66" s="6" t="s">
        <v>908</v>
      </c>
      <c r="I66" s="5">
        <v>45445</v>
      </c>
      <c r="J66" s="5">
        <v>45374</v>
      </c>
      <c r="K66" s="6" t="s">
        <v>914</v>
      </c>
      <c r="L66" s="6" t="s">
        <v>909</v>
      </c>
      <c r="M66">
        <v>71</v>
      </c>
      <c r="N66">
        <v>0</v>
      </c>
      <c r="O66" s="6" t="s">
        <v>920</v>
      </c>
    </row>
    <row r="67" spans="1:15" x14ac:dyDescent="0.3">
      <c r="A67">
        <v>1354</v>
      </c>
      <c r="B67" s="6" t="s">
        <v>22</v>
      </c>
      <c r="C67">
        <v>19</v>
      </c>
      <c r="D67" s="6" t="s">
        <v>24</v>
      </c>
      <c r="E67" s="6" t="s">
        <v>156</v>
      </c>
      <c r="F67" s="6" t="s">
        <v>777</v>
      </c>
      <c r="G67">
        <v>1</v>
      </c>
      <c r="H67" s="6" t="s">
        <v>28</v>
      </c>
      <c r="I67" s="5">
        <v>45316</v>
      </c>
      <c r="J67" s="5">
        <v>45386</v>
      </c>
      <c r="K67" s="6" t="s">
        <v>914</v>
      </c>
      <c r="L67" s="6" t="s">
        <v>909</v>
      </c>
      <c r="M67">
        <v>70</v>
      </c>
      <c r="N67">
        <v>0</v>
      </c>
      <c r="O67" s="6" t="s">
        <v>920</v>
      </c>
    </row>
    <row r="68" spans="1:15" x14ac:dyDescent="0.3">
      <c r="A68">
        <v>1222</v>
      </c>
      <c r="B68" s="6" t="s">
        <v>136</v>
      </c>
      <c r="C68">
        <v>21</v>
      </c>
      <c r="D68" s="6" t="s">
        <v>55</v>
      </c>
      <c r="E68" s="6" t="s">
        <v>167</v>
      </c>
      <c r="F68" s="6" t="s">
        <v>861</v>
      </c>
      <c r="G68">
        <v>4</v>
      </c>
      <c r="H68" s="6" t="s">
        <v>28</v>
      </c>
      <c r="I68" s="5">
        <v>45301</v>
      </c>
      <c r="J68" s="5">
        <v>45370</v>
      </c>
      <c r="K68" s="6" t="s">
        <v>40</v>
      </c>
      <c r="L68" s="6" t="s">
        <v>913</v>
      </c>
      <c r="M68">
        <v>69</v>
      </c>
      <c r="N68">
        <v>1</v>
      </c>
      <c r="O68" s="6" t="s">
        <v>920</v>
      </c>
    </row>
    <row r="69" spans="1:15" x14ac:dyDescent="0.3">
      <c r="A69">
        <v>1484</v>
      </c>
      <c r="B69" s="6" t="s">
        <v>107</v>
      </c>
      <c r="C69">
        <v>20</v>
      </c>
      <c r="D69" s="6" t="s">
        <v>55</v>
      </c>
      <c r="E69" s="6" t="s">
        <v>25</v>
      </c>
      <c r="F69" s="6" t="s">
        <v>726</v>
      </c>
      <c r="G69">
        <v>5</v>
      </c>
      <c r="H69" s="6" t="s">
        <v>17</v>
      </c>
      <c r="I69" s="5">
        <v>45376</v>
      </c>
      <c r="J69" s="5">
        <v>45444</v>
      </c>
      <c r="K69" s="6" t="s">
        <v>914</v>
      </c>
      <c r="L69" s="6" t="s">
        <v>913</v>
      </c>
      <c r="M69">
        <v>68</v>
      </c>
      <c r="N69">
        <v>0</v>
      </c>
      <c r="O69" s="6" t="s">
        <v>920</v>
      </c>
    </row>
    <row r="70" spans="1:15" x14ac:dyDescent="0.3">
      <c r="A70">
        <v>1290</v>
      </c>
      <c r="B70" s="6" t="s">
        <v>22</v>
      </c>
      <c r="C70">
        <v>21</v>
      </c>
      <c r="D70" s="6" t="s">
        <v>55</v>
      </c>
      <c r="E70" s="6" t="s">
        <v>25</v>
      </c>
      <c r="F70" s="6" t="s">
        <v>711</v>
      </c>
      <c r="G70">
        <v>0</v>
      </c>
      <c r="H70" s="6" t="s">
        <v>28</v>
      </c>
      <c r="I70" s="5">
        <v>45413</v>
      </c>
      <c r="J70" s="5">
        <v>45346</v>
      </c>
      <c r="K70" s="6" t="s">
        <v>40</v>
      </c>
      <c r="L70" s="6" t="s">
        <v>1021</v>
      </c>
      <c r="M70">
        <v>67</v>
      </c>
      <c r="N70">
        <v>1</v>
      </c>
      <c r="O70" s="6" t="s">
        <v>920</v>
      </c>
    </row>
    <row r="71" spans="1:15" x14ac:dyDescent="0.3">
      <c r="A71">
        <v>1206</v>
      </c>
      <c r="B71" s="6" t="s">
        <v>32</v>
      </c>
      <c r="C71">
        <v>22</v>
      </c>
      <c r="D71" s="6" t="s">
        <v>24</v>
      </c>
      <c r="E71" s="6" t="s">
        <v>25</v>
      </c>
      <c r="F71" s="6" t="s">
        <v>858</v>
      </c>
      <c r="G71">
        <v>5</v>
      </c>
      <c r="H71" s="6" t="s">
        <v>908</v>
      </c>
      <c r="I71" s="5">
        <v>45438</v>
      </c>
      <c r="J71" s="5">
        <v>45372</v>
      </c>
      <c r="K71" s="6" t="s">
        <v>69</v>
      </c>
      <c r="L71" s="6" t="s">
        <v>1021</v>
      </c>
      <c r="M71">
        <v>66</v>
      </c>
      <c r="N71">
        <v>0</v>
      </c>
      <c r="O71" s="6" t="s">
        <v>920</v>
      </c>
    </row>
    <row r="72" spans="1:15" x14ac:dyDescent="0.3">
      <c r="A72">
        <v>1146</v>
      </c>
      <c r="B72" s="6" t="s">
        <v>117</v>
      </c>
      <c r="C72">
        <v>25</v>
      </c>
      <c r="D72" s="6" t="s">
        <v>659</v>
      </c>
      <c r="E72" s="6" t="s">
        <v>84</v>
      </c>
      <c r="F72" s="6" t="s">
        <v>725</v>
      </c>
      <c r="G72">
        <v>0</v>
      </c>
      <c r="H72" s="6" t="s">
        <v>76</v>
      </c>
      <c r="I72" s="5">
        <v>45448</v>
      </c>
      <c r="J72" s="5">
        <v>45383</v>
      </c>
      <c r="K72" s="6" t="s">
        <v>69</v>
      </c>
      <c r="L72" s="6" t="s">
        <v>913</v>
      </c>
      <c r="M72">
        <v>65</v>
      </c>
      <c r="N72">
        <v>0</v>
      </c>
      <c r="O72" s="6" t="s">
        <v>920</v>
      </c>
    </row>
    <row r="73" spans="1:15" x14ac:dyDescent="0.3">
      <c r="A73">
        <v>1141</v>
      </c>
      <c r="B73" s="6" t="s">
        <v>136</v>
      </c>
      <c r="C73">
        <v>25</v>
      </c>
      <c r="D73" s="6" t="s">
        <v>55</v>
      </c>
      <c r="E73" s="6" t="s">
        <v>25</v>
      </c>
      <c r="F73" s="6" t="s">
        <v>839</v>
      </c>
      <c r="G73">
        <v>1</v>
      </c>
      <c r="H73" s="6" t="s">
        <v>28</v>
      </c>
      <c r="I73" s="5">
        <v>45311</v>
      </c>
      <c r="J73" s="5">
        <v>45376</v>
      </c>
      <c r="K73" s="6" t="s">
        <v>20</v>
      </c>
      <c r="L73" s="6" t="s">
        <v>909</v>
      </c>
      <c r="M73">
        <v>65</v>
      </c>
      <c r="N73">
        <v>0</v>
      </c>
      <c r="O73" s="6" t="s">
        <v>920</v>
      </c>
    </row>
    <row r="74" spans="1:15" x14ac:dyDescent="0.3">
      <c r="A74">
        <v>1073</v>
      </c>
      <c r="B74" s="6" t="s">
        <v>107</v>
      </c>
      <c r="C74">
        <v>22</v>
      </c>
      <c r="D74" s="6" t="s">
        <v>24</v>
      </c>
      <c r="E74" s="6" t="s">
        <v>156</v>
      </c>
      <c r="F74" s="6" t="s">
        <v>903</v>
      </c>
      <c r="G74">
        <v>2</v>
      </c>
      <c r="H74" s="6" t="s">
        <v>17</v>
      </c>
      <c r="I74" s="5">
        <v>45358</v>
      </c>
      <c r="J74" s="5">
        <v>45293</v>
      </c>
      <c r="K74" s="6" t="s">
        <v>69</v>
      </c>
      <c r="L74" s="6" t="s">
        <v>909</v>
      </c>
      <c r="M74">
        <v>65</v>
      </c>
      <c r="N74">
        <v>0</v>
      </c>
      <c r="O74" s="6" t="s">
        <v>920</v>
      </c>
    </row>
    <row r="75" spans="1:15" x14ac:dyDescent="0.3">
      <c r="A75">
        <v>1325</v>
      </c>
      <c r="B75" s="6" t="s">
        <v>47</v>
      </c>
      <c r="C75">
        <v>21</v>
      </c>
      <c r="D75" s="6" t="s">
        <v>55</v>
      </c>
      <c r="E75" s="6" t="s">
        <v>156</v>
      </c>
      <c r="F75" s="6" t="s">
        <v>717</v>
      </c>
      <c r="G75">
        <v>5</v>
      </c>
      <c r="H75" s="6" t="s">
        <v>17</v>
      </c>
      <c r="I75" s="5">
        <v>45429</v>
      </c>
      <c r="J75" s="5">
        <v>45365</v>
      </c>
      <c r="K75" s="6" t="s">
        <v>40</v>
      </c>
      <c r="L75" s="6" t="s">
        <v>911</v>
      </c>
      <c r="M75">
        <v>64</v>
      </c>
      <c r="N75">
        <v>1</v>
      </c>
      <c r="O75" s="6" t="s">
        <v>920</v>
      </c>
    </row>
    <row r="76" spans="1:15" x14ac:dyDescent="0.3">
      <c r="A76">
        <v>1420</v>
      </c>
      <c r="B76" s="6" t="s">
        <v>22</v>
      </c>
      <c r="C76">
        <v>19</v>
      </c>
      <c r="D76" s="6" t="s">
        <v>659</v>
      </c>
      <c r="E76" s="6" t="s">
        <v>25</v>
      </c>
      <c r="F76" s="6" t="s">
        <v>684</v>
      </c>
      <c r="G76">
        <v>3</v>
      </c>
      <c r="H76" s="6" t="s">
        <v>908</v>
      </c>
      <c r="I76" s="5">
        <v>45420</v>
      </c>
      <c r="J76" s="5">
        <v>45357</v>
      </c>
      <c r="K76" s="6" t="s">
        <v>69</v>
      </c>
      <c r="L76" s="6" t="s">
        <v>910</v>
      </c>
      <c r="M76">
        <v>63</v>
      </c>
      <c r="N76">
        <v>0</v>
      </c>
      <c r="O76" s="6" t="s">
        <v>920</v>
      </c>
    </row>
    <row r="77" spans="1:15" x14ac:dyDescent="0.3">
      <c r="A77">
        <v>1360</v>
      </c>
      <c r="B77" s="6" t="s">
        <v>47</v>
      </c>
      <c r="C77">
        <v>18</v>
      </c>
      <c r="D77" s="6" t="s">
        <v>55</v>
      </c>
      <c r="E77" s="6" t="s">
        <v>167</v>
      </c>
      <c r="F77" s="6" t="s">
        <v>807</v>
      </c>
      <c r="G77">
        <v>1</v>
      </c>
      <c r="H77" s="6" t="s">
        <v>908</v>
      </c>
      <c r="I77" s="5">
        <v>45311</v>
      </c>
      <c r="J77" s="5">
        <v>45374</v>
      </c>
      <c r="K77" s="6" t="s">
        <v>40</v>
      </c>
      <c r="L77" s="6" t="s">
        <v>1021</v>
      </c>
      <c r="M77">
        <v>63</v>
      </c>
      <c r="N77">
        <v>1</v>
      </c>
      <c r="O77" s="6" t="s">
        <v>920</v>
      </c>
    </row>
    <row r="78" spans="1:15" x14ac:dyDescent="0.3">
      <c r="A78">
        <v>1050</v>
      </c>
      <c r="B78" s="6" t="s">
        <v>136</v>
      </c>
      <c r="C78">
        <v>19</v>
      </c>
      <c r="D78" s="6" t="s">
        <v>24</v>
      </c>
      <c r="E78" s="6" t="s">
        <v>25</v>
      </c>
      <c r="F78" s="6" t="s">
        <v>891</v>
      </c>
      <c r="G78">
        <v>5</v>
      </c>
      <c r="H78" s="6" t="s">
        <v>908</v>
      </c>
      <c r="I78" s="5">
        <v>45450</v>
      </c>
      <c r="J78" s="5">
        <v>45387</v>
      </c>
      <c r="K78" s="6" t="s">
        <v>40</v>
      </c>
      <c r="L78" s="6" t="s">
        <v>913</v>
      </c>
      <c r="M78">
        <v>63</v>
      </c>
      <c r="N78">
        <v>1</v>
      </c>
      <c r="O78" s="6" t="s">
        <v>920</v>
      </c>
    </row>
    <row r="79" spans="1:15" x14ac:dyDescent="0.3">
      <c r="A79">
        <v>1334</v>
      </c>
      <c r="B79" s="6" t="s">
        <v>107</v>
      </c>
      <c r="C79">
        <v>22</v>
      </c>
      <c r="D79" s="6" t="s">
        <v>659</v>
      </c>
      <c r="E79" s="6" t="s">
        <v>167</v>
      </c>
      <c r="F79" s="6" t="s">
        <v>682</v>
      </c>
      <c r="G79">
        <v>4</v>
      </c>
      <c r="H79" s="6" t="s">
        <v>28</v>
      </c>
      <c r="I79" s="5">
        <v>45328</v>
      </c>
      <c r="J79" s="5">
        <v>45390</v>
      </c>
      <c r="K79" s="6" t="s">
        <v>914</v>
      </c>
      <c r="L79" s="6" t="s">
        <v>909</v>
      </c>
      <c r="M79">
        <v>62</v>
      </c>
      <c r="N79">
        <v>0</v>
      </c>
      <c r="O79" s="6" t="s">
        <v>920</v>
      </c>
    </row>
    <row r="80" spans="1:15" x14ac:dyDescent="0.3">
      <c r="A80">
        <v>1180</v>
      </c>
      <c r="B80" s="6" t="s">
        <v>74</v>
      </c>
      <c r="C80">
        <v>25</v>
      </c>
      <c r="D80" s="6" t="s">
        <v>24</v>
      </c>
      <c r="E80" s="6" t="s">
        <v>167</v>
      </c>
      <c r="F80" s="6" t="s">
        <v>704</v>
      </c>
      <c r="G80">
        <v>5</v>
      </c>
      <c r="H80" s="6" t="s">
        <v>908</v>
      </c>
      <c r="I80" s="5">
        <v>45429</v>
      </c>
      <c r="J80" s="5">
        <v>45367</v>
      </c>
      <c r="K80" s="6" t="s">
        <v>914</v>
      </c>
      <c r="L80" s="6" t="s">
        <v>911</v>
      </c>
      <c r="M80">
        <v>62</v>
      </c>
      <c r="N80">
        <v>0</v>
      </c>
      <c r="O80" s="6" t="s">
        <v>920</v>
      </c>
    </row>
    <row r="81" spans="1:15" x14ac:dyDescent="0.3">
      <c r="A81">
        <v>1491</v>
      </c>
      <c r="B81" s="6" t="s">
        <v>22</v>
      </c>
      <c r="C81">
        <v>21</v>
      </c>
      <c r="D81" s="6" t="s">
        <v>659</v>
      </c>
      <c r="E81" s="6" t="s">
        <v>25</v>
      </c>
      <c r="F81" s="6" t="s">
        <v>728</v>
      </c>
      <c r="G81">
        <v>4</v>
      </c>
      <c r="H81" s="6" t="s">
        <v>28</v>
      </c>
      <c r="I81" s="5">
        <v>45414</v>
      </c>
      <c r="J81" s="5">
        <v>45353</v>
      </c>
      <c r="K81" s="6" t="s">
        <v>40</v>
      </c>
      <c r="L81" s="6" t="s">
        <v>909</v>
      </c>
      <c r="M81">
        <v>61</v>
      </c>
      <c r="N81">
        <v>1</v>
      </c>
      <c r="O81" s="6" t="s">
        <v>920</v>
      </c>
    </row>
    <row r="82" spans="1:15" x14ac:dyDescent="0.3">
      <c r="A82">
        <v>1111</v>
      </c>
      <c r="B82" s="6" t="s">
        <v>74</v>
      </c>
      <c r="C82">
        <v>21</v>
      </c>
      <c r="D82" s="6" t="s">
        <v>24</v>
      </c>
      <c r="E82" s="6" t="s">
        <v>25</v>
      </c>
      <c r="F82" s="6" t="s">
        <v>679</v>
      </c>
      <c r="G82">
        <v>2</v>
      </c>
      <c r="H82" s="6" t="s">
        <v>17</v>
      </c>
      <c r="I82" s="5">
        <v>45303</v>
      </c>
      <c r="J82" s="5">
        <v>45363</v>
      </c>
      <c r="K82" s="6" t="s">
        <v>20</v>
      </c>
      <c r="L82" s="6" t="s">
        <v>909</v>
      </c>
      <c r="M82">
        <v>60</v>
      </c>
      <c r="N82">
        <v>0</v>
      </c>
      <c r="O82" s="6" t="s">
        <v>920</v>
      </c>
    </row>
    <row r="83" spans="1:15" x14ac:dyDescent="0.3">
      <c r="A83">
        <v>1060</v>
      </c>
      <c r="B83" s="6" t="s">
        <v>12</v>
      </c>
      <c r="C83">
        <v>19</v>
      </c>
      <c r="D83" s="6" t="s">
        <v>24</v>
      </c>
      <c r="E83" s="6" t="s">
        <v>167</v>
      </c>
      <c r="F83" s="6" t="s">
        <v>827</v>
      </c>
      <c r="G83">
        <v>1</v>
      </c>
      <c r="H83" s="6" t="s">
        <v>908</v>
      </c>
      <c r="I83" s="5">
        <v>45307</v>
      </c>
      <c r="J83" s="5">
        <v>45367</v>
      </c>
      <c r="K83" s="6" t="s">
        <v>40</v>
      </c>
      <c r="L83" s="6" t="s">
        <v>910</v>
      </c>
      <c r="M83">
        <v>60</v>
      </c>
      <c r="N83">
        <v>1</v>
      </c>
      <c r="O83" s="6" t="s">
        <v>920</v>
      </c>
    </row>
    <row r="84" spans="1:15" x14ac:dyDescent="0.3">
      <c r="A84">
        <v>1067</v>
      </c>
      <c r="B84" s="6" t="s">
        <v>163</v>
      </c>
      <c r="C84">
        <v>21</v>
      </c>
      <c r="D84" s="6" t="s">
        <v>55</v>
      </c>
      <c r="E84" s="6" t="s">
        <v>84</v>
      </c>
      <c r="F84" s="6" t="s">
        <v>771</v>
      </c>
      <c r="G84">
        <v>5</v>
      </c>
      <c r="H84" s="6" t="s">
        <v>28</v>
      </c>
      <c r="I84" s="5">
        <v>45323</v>
      </c>
      <c r="J84" s="5">
        <v>45379</v>
      </c>
      <c r="K84" s="6" t="s">
        <v>20</v>
      </c>
      <c r="L84" s="6" t="s">
        <v>913</v>
      </c>
      <c r="M84">
        <v>56</v>
      </c>
      <c r="N84">
        <v>0</v>
      </c>
      <c r="O84" s="6" t="s">
        <v>920</v>
      </c>
    </row>
    <row r="85" spans="1:15" x14ac:dyDescent="0.3">
      <c r="A85">
        <v>1419</v>
      </c>
      <c r="B85" s="6" t="s">
        <v>117</v>
      </c>
      <c r="C85">
        <v>21</v>
      </c>
      <c r="D85" s="6" t="s">
        <v>55</v>
      </c>
      <c r="E85" s="6" t="s">
        <v>84</v>
      </c>
      <c r="F85" s="6" t="s">
        <v>818</v>
      </c>
      <c r="G85">
        <v>2</v>
      </c>
      <c r="H85" s="6" t="s">
        <v>17</v>
      </c>
      <c r="I85" s="5">
        <v>45457</v>
      </c>
      <c r="J85" s="5">
        <v>45401</v>
      </c>
      <c r="K85" s="6" t="s">
        <v>20</v>
      </c>
      <c r="L85" s="6" t="s">
        <v>913</v>
      </c>
      <c r="M85">
        <v>56</v>
      </c>
      <c r="N85">
        <v>0</v>
      </c>
      <c r="O85" s="6" t="s">
        <v>920</v>
      </c>
    </row>
    <row r="86" spans="1:15" x14ac:dyDescent="0.3">
      <c r="A86">
        <v>1490</v>
      </c>
      <c r="B86" s="6" t="s">
        <v>120</v>
      </c>
      <c r="C86">
        <v>24</v>
      </c>
      <c r="D86" s="6" t="s">
        <v>55</v>
      </c>
      <c r="E86" s="6" t="s">
        <v>84</v>
      </c>
      <c r="F86" s="6" t="s">
        <v>869</v>
      </c>
      <c r="G86">
        <v>4</v>
      </c>
      <c r="H86" s="6" t="s">
        <v>28</v>
      </c>
      <c r="I86" s="5">
        <v>45438</v>
      </c>
      <c r="J86" s="5">
        <v>45383</v>
      </c>
      <c r="K86" s="6" t="s">
        <v>40</v>
      </c>
      <c r="L86" s="6" t="s">
        <v>913</v>
      </c>
      <c r="M86">
        <v>55</v>
      </c>
      <c r="N86">
        <v>1</v>
      </c>
      <c r="O86" s="6" t="s">
        <v>920</v>
      </c>
    </row>
    <row r="87" spans="1:15" x14ac:dyDescent="0.3">
      <c r="A87">
        <v>1097</v>
      </c>
      <c r="B87" s="6" t="s">
        <v>22</v>
      </c>
      <c r="C87">
        <v>18</v>
      </c>
      <c r="D87" s="6" t="s">
        <v>55</v>
      </c>
      <c r="E87" s="6" t="s">
        <v>84</v>
      </c>
      <c r="F87" s="6" t="s">
        <v>890</v>
      </c>
      <c r="G87">
        <v>4</v>
      </c>
      <c r="H87" s="6" t="s">
        <v>908</v>
      </c>
      <c r="I87" s="5">
        <v>45462</v>
      </c>
      <c r="J87" s="5">
        <v>45407</v>
      </c>
      <c r="K87" s="6" t="s">
        <v>40</v>
      </c>
      <c r="L87" s="6" t="s">
        <v>1021</v>
      </c>
      <c r="M87">
        <v>55</v>
      </c>
      <c r="N87">
        <v>1</v>
      </c>
      <c r="O87" s="6" t="s">
        <v>920</v>
      </c>
    </row>
    <row r="88" spans="1:15" x14ac:dyDescent="0.3">
      <c r="A88">
        <v>1447</v>
      </c>
      <c r="B88" s="6" t="s">
        <v>22</v>
      </c>
      <c r="C88">
        <v>22</v>
      </c>
      <c r="D88" s="6" t="s">
        <v>24</v>
      </c>
      <c r="E88" s="6" t="s">
        <v>25</v>
      </c>
      <c r="F88" s="6" t="s">
        <v>853</v>
      </c>
      <c r="G88">
        <v>5</v>
      </c>
      <c r="H88" s="6" t="s">
        <v>908</v>
      </c>
      <c r="I88" s="5">
        <v>45378</v>
      </c>
      <c r="J88" s="5">
        <v>45326</v>
      </c>
      <c r="K88" s="6" t="s">
        <v>69</v>
      </c>
      <c r="L88" s="6" t="s">
        <v>911</v>
      </c>
      <c r="M88">
        <v>52</v>
      </c>
      <c r="N88">
        <v>0</v>
      </c>
      <c r="O88" s="6" t="s">
        <v>920</v>
      </c>
    </row>
    <row r="89" spans="1:15" x14ac:dyDescent="0.3">
      <c r="A89">
        <v>1455</v>
      </c>
      <c r="B89" s="6" t="s">
        <v>74</v>
      </c>
      <c r="C89">
        <v>25</v>
      </c>
      <c r="D89" s="6" t="s">
        <v>55</v>
      </c>
      <c r="E89" s="6" t="s">
        <v>156</v>
      </c>
      <c r="F89" s="6" t="s">
        <v>746</v>
      </c>
      <c r="G89">
        <v>1</v>
      </c>
      <c r="H89" s="6" t="s">
        <v>28</v>
      </c>
      <c r="I89" s="5">
        <v>45399</v>
      </c>
      <c r="J89" s="5">
        <v>45348</v>
      </c>
      <c r="K89" s="6" t="s">
        <v>20</v>
      </c>
      <c r="L89" s="6" t="s">
        <v>909</v>
      </c>
      <c r="M89">
        <v>51</v>
      </c>
      <c r="N89">
        <v>0</v>
      </c>
      <c r="O89" s="6" t="s">
        <v>920</v>
      </c>
    </row>
    <row r="90" spans="1:15" x14ac:dyDescent="0.3">
      <c r="A90">
        <v>1149</v>
      </c>
      <c r="B90" s="6" t="s">
        <v>136</v>
      </c>
      <c r="C90">
        <v>22</v>
      </c>
      <c r="D90" s="6" t="s">
        <v>55</v>
      </c>
      <c r="E90" s="6" t="s">
        <v>25</v>
      </c>
      <c r="F90" s="6" t="s">
        <v>773</v>
      </c>
      <c r="G90">
        <v>5</v>
      </c>
      <c r="H90" s="6" t="s">
        <v>17</v>
      </c>
      <c r="I90" s="5">
        <v>45386</v>
      </c>
      <c r="J90" s="5">
        <v>45337</v>
      </c>
      <c r="K90" s="6" t="s">
        <v>69</v>
      </c>
      <c r="L90" s="6" t="s">
        <v>910</v>
      </c>
      <c r="M90">
        <v>49</v>
      </c>
      <c r="N90">
        <v>0</v>
      </c>
      <c r="O90" s="6" t="s">
        <v>920</v>
      </c>
    </row>
    <row r="91" spans="1:15" x14ac:dyDescent="0.3">
      <c r="A91">
        <v>1040</v>
      </c>
      <c r="B91" s="6" t="s">
        <v>120</v>
      </c>
      <c r="C91">
        <v>21</v>
      </c>
      <c r="D91" s="6" t="s">
        <v>55</v>
      </c>
      <c r="E91" s="6" t="s">
        <v>84</v>
      </c>
      <c r="F91" s="6" t="s">
        <v>863</v>
      </c>
      <c r="G91">
        <v>4</v>
      </c>
      <c r="H91" s="6" t="s">
        <v>28</v>
      </c>
      <c r="I91" s="5">
        <v>45404</v>
      </c>
      <c r="J91" s="5">
        <v>45355</v>
      </c>
      <c r="K91" s="6" t="s">
        <v>40</v>
      </c>
      <c r="L91" s="6" t="s">
        <v>913</v>
      </c>
      <c r="M91">
        <v>49</v>
      </c>
      <c r="N91">
        <v>1</v>
      </c>
      <c r="O91" s="6" t="s">
        <v>920</v>
      </c>
    </row>
    <row r="92" spans="1:15" x14ac:dyDescent="0.3">
      <c r="A92">
        <v>1133</v>
      </c>
      <c r="B92" s="6" t="s">
        <v>12</v>
      </c>
      <c r="C92">
        <v>19</v>
      </c>
      <c r="D92" s="6" t="s">
        <v>55</v>
      </c>
      <c r="E92" s="6" t="s">
        <v>156</v>
      </c>
      <c r="F92" s="6" t="s">
        <v>806</v>
      </c>
      <c r="G92">
        <v>1</v>
      </c>
      <c r="H92" s="6" t="s">
        <v>17</v>
      </c>
      <c r="I92" s="5">
        <v>45365</v>
      </c>
      <c r="J92" s="5">
        <v>45317</v>
      </c>
      <c r="K92" s="6" t="s">
        <v>914</v>
      </c>
      <c r="L92" s="6" t="s">
        <v>909</v>
      </c>
      <c r="M92">
        <v>48</v>
      </c>
      <c r="N92">
        <v>0</v>
      </c>
      <c r="O92" s="6" t="s">
        <v>920</v>
      </c>
    </row>
    <row r="93" spans="1:15" x14ac:dyDescent="0.3">
      <c r="A93">
        <v>1250</v>
      </c>
      <c r="B93" s="6" t="s">
        <v>47</v>
      </c>
      <c r="C93">
        <v>21</v>
      </c>
      <c r="D93" s="6" t="s">
        <v>24</v>
      </c>
      <c r="E93" s="6" t="s">
        <v>25</v>
      </c>
      <c r="F93" s="6" t="s">
        <v>852</v>
      </c>
      <c r="G93">
        <v>3</v>
      </c>
      <c r="H93" s="6" t="s">
        <v>17</v>
      </c>
      <c r="I93" s="5">
        <v>45312</v>
      </c>
      <c r="J93" s="5">
        <v>45357</v>
      </c>
      <c r="K93" s="6" t="s">
        <v>69</v>
      </c>
      <c r="L93" s="6" t="s">
        <v>910</v>
      </c>
      <c r="M93">
        <v>45</v>
      </c>
      <c r="N93">
        <v>0</v>
      </c>
      <c r="O93" s="6" t="s">
        <v>920</v>
      </c>
    </row>
    <row r="94" spans="1:15" x14ac:dyDescent="0.3">
      <c r="A94">
        <v>1183</v>
      </c>
      <c r="B94" s="6" t="s">
        <v>163</v>
      </c>
      <c r="C94">
        <v>21</v>
      </c>
      <c r="D94" s="6" t="s">
        <v>659</v>
      </c>
      <c r="E94" s="6" t="s">
        <v>84</v>
      </c>
      <c r="F94" s="6" t="s">
        <v>751</v>
      </c>
      <c r="G94">
        <v>5</v>
      </c>
      <c r="H94" s="6" t="s">
        <v>28</v>
      </c>
      <c r="I94" s="5">
        <v>45405</v>
      </c>
      <c r="J94" s="5">
        <v>45361</v>
      </c>
      <c r="K94" s="6" t="s">
        <v>20</v>
      </c>
      <c r="L94" s="6" t="s">
        <v>1021</v>
      </c>
      <c r="M94">
        <v>44</v>
      </c>
      <c r="N94">
        <v>0</v>
      </c>
      <c r="O94" s="6" t="s">
        <v>920</v>
      </c>
    </row>
    <row r="95" spans="1:15" x14ac:dyDescent="0.3">
      <c r="A95">
        <v>1438</v>
      </c>
      <c r="B95" s="6" t="s">
        <v>12</v>
      </c>
      <c r="C95">
        <v>19</v>
      </c>
      <c r="D95" s="6" t="s">
        <v>659</v>
      </c>
      <c r="E95" s="6" t="s">
        <v>84</v>
      </c>
      <c r="F95" s="6" t="s">
        <v>902</v>
      </c>
      <c r="G95">
        <v>3</v>
      </c>
      <c r="H95" s="6" t="s">
        <v>17</v>
      </c>
      <c r="I95" s="5">
        <v>45465</v>
      </c>
      <c r="J95" s="5">
        <v>45509</v>
      </c>
      <c r="K95" s="6" t="s">
        <v>40</v>
      </c>
      <c r="L95" s="6" t="s">
        <v>910</v>
      </c>
      <c r="M95">
        <v>44</v>
      </c>
      <c r="N95">
        <v>1</v>
      </c>
      <c r="O95" s="6" t="s">
        <v>920</v>
      </c>
    </row>
    <row r="96" spans="1:15" x14ac:dyDescent="0.3">
      <c r="A96">
        <v>1018</v>
      </c>
      <c r="B96" s="6" t="s">
        <v>107</v>
      </c>
      <c r="C96">
        <v>21</v>
      </c>
      <c r="D96" s="6" t="s">
        <v>659</v>
      </c>
      <c r="E96" s="6" t="s">
        <v>25</v>
      </c>
      <c r="F96" s="6" t="s">
        <v>758</v>
      </c>
      <c r="G96">
        <v>5</v>
      </c>
      <c r="H96" s="6" t="s">
        <v>28</v>
      </c>
      <c r="I96" s="5">
        <v>45431</v>
      </c>
      <c r="J96" s="5">
        <v>45388</v>
      </c>
      <c r="K96" s="6" t="s">
        <v>40</v>
      </c>
      <c r="L96" s="6" t="s">
        <v>909</v>
      </c>
      <c r="M96">
        <v>43</v>
      </c>
      <c r="N96">
        <v>1</v>
      </c>
      <c r="O96" s="6" t="s">
        <v>920</v>
      </c>
    </row>
    <row r="97" spans="1:15" x14ac:dyDescent="0.3">
      <c r="A97">
        <v>1001</v>
      </c>
      <c r="B97" s="6" t="s">
        <v>74</v>
      </c>
      <c r="C97">
        <v>25</v>
      </c>
      <c r="D97" s="6" t="s">
        <v>659</v>
      </c>
      <c r="E97" s="6" t="s">
        <v>167</v>
      </c>
      <c r="F97" s="6" t="s">
        <v>760</v>
      </c>
      <c r="G97">
        <v>4</v>
      </c>
      <c r="H97" s="6" t="s">
        <v>28</v>
      </c>
      <c r="I97" s="5">
        <v>45354</v>
      </c>
      <c r="J97" s="5">
        <v>45397</v>
      </c>
      <c r="K97" s="6" t="s">
        <v>40</v>
      </c>
      <c r="L97" s="6" t="s">
        <v>1021</v>
      </c>
      <c r="M97">
        <v>43</v>
      </c>
      <c r="N97">
        <v>1</v>
      </c>
      <c r="O97" s="6" t="s">
        <v>920</v>
      </c>
    </row>
    <row r="98" spans="1:15" x14ac:dyDescent="0.3">
      <c r="A98">
        <v>1473</v>
      </c>
      <c r="B98" s="6" t="s">
        <v>163</v>
      </c>
      <c r="C98">
        <v>19</v>
      </c>
      <c r="D98" s="6" t="s">
        <v>659</v>
      </c>
      <c r="E98" s="6" t="s">
        <v>84</v>
      </c>
      <c r="F98" s="6" t="s">
        <v>774</v>
      </c>
      <c r="G98">
        <v>0</v>
      </c>
      <c r="H98" s="6" t="s">
        <v>908</v>
      </c>
      <c r="I98" s="5">
        <v>45392</v>
      </c>
      <c r="J98" s="5">
        <v>45349</v>
      </c>
      <c r="K98" s="6" t="s">
        <v>914</v>
      </c>
      <c r="L98" s="6" t="s">
        <v>909</v>
      </c>
      <c r="M98">
        <v>43</v>
      </c>
      <c r="N98">
        <v>0</v>
      </c>
      <c r="O98" s="6" t="s">
        <v>920</v>
      </c>
    </row>
    <row r="99" spans="1:15" x14ac:dyDescent="0.3">
      <c r="A99">
        <v>1472</v>
      </c>
      <c r="B99" s="6" t="s">
        <v>22</v>
      </c>
      <c r="C99">
        <v>22</v>
      </c>
      <c r="D99" s="6" t="s">
        <v>659</v>
      </c>
      <c r="E99" s="6" t="s">
        <v>84</v>
      </c>
      <c r="F99" s="6" t="s">
        <v>850</v>
      </c>
      <c r="G99">
        <v>4</v>
      </c>
      <c r="H99" s="6" t="s">
        <v>908</v>
      </c>
      <c r="I99" s="5">
        <v>45324</v>
      </c>
      <c r="J99" s="5">
        <v>45366</v>
      </c>
      <c r="K99" s="6" t="s">
        <v>20</v>
      </c>
      <c r="L99" s="6" t="s">
        <v>1021</v>
      </c>
      <c r="M99">
        <v>42</v>
      </c>
      <c r="N99">
        <v>0</v>
      </c>
      <c r="O99" s="6" t="s">
        <v>920</v>
      </c>
    </row>
    <row r="100" spans="1:15" x14ac:dyDescent="0.3">
      <c r="A100">
        <v>1224</v>
      </c>
      <c r="B100" s="6" t="s">
        <v>74</v>
      </c>
      <c r="C100">
        <v>21</v>
      </c>
      <c r="D100" s="6" t="s">
        <v>55</v>
      </c>
      <c r="E100" s="6" t="s">
        <v>25</v>
      </c>
      <c r="F100" s="6" t="s">
        <v>678</v>
      </c>
      <c r="G100">
        <v>1</v>
      </c>
      <c r="H100" s="6" t="s">
        <v>908</v>
      </c>
      <c r="I100" s="5">
        <v>45406</v>
      </c>
      <c r="J100" s="5">
        <v>45447</v>
      </c>
      <c r="K100" s="6" t="s">
        <v>914</v>
      </c>
      <c r="L100" s="6" t="s">
        <v>910</v>
      </c>
      <c r="M100">
        <v>41</v>
      </c>
      <c r="N100">
        <v>0</v>
      </c>
      <c r="O100" s="6" t="s">
        <v>920</v>
      </c>
    </row>
    <row r="101" spans="1:15" x14ac:dyDescent="0.3">
      <c r="A101">
        <v>1039</v>
      </c>
      <c r="B101" s="6" t="s">
        <v>12</v>
      </c>
      <c r="C101">
        <v>19</v>
      </c>
      <c r="D101" s="6" t="s">
        <v>659</v>
      </c>
      <c r="E101" s="6" t="s">
        <v>25</v>
      </c>
      <c r="F101" s="6" t="s">
        <v>693</v>
      </c>
      <c r="G101">
        <v>4</v>
      </c>
      <c r="H101" s="6" t="s">
        <v>908</v>
      </c>
      <c r="I101" s="5">
        <v>45440</v>
      </c>
      <c r="J101" s="5">
        <v>45400</v>
      </c>
      <c r="K101" s="6" t="s">
        <v>69</v>
      </c>
      <c r="L101" s="6" t="s">
        <v>1021</v>
      </c>
      <c r="M101">
        <v>40</v>
      </c>
      <c r="N101">
        <v>0</v>
      </c>
      <c r="O101" s="6" t="s">
        <v>920</v>
      </c>
    </row>
    <row r="102" spans="1:15" x14ac:dyDescent="0.3">
      <c r="A102">
        <v>1198</v>
      </c>
      <c r="B102" s="6" t="s">
        <v>117</v>
      </c>
      <c r="C102">
        <v>22</v>
      </c>
      <c r="D102" s="6" t="s">
        <v>55</v>
      </c>
      <c r="E102" s="6" t="s">
        <v>156</v>
      </c>
      <c r="F102" s="6" t="s">
        <v>862</v>
      </c>
      <c r="G102">
        <v>1</v>
      </c>
      <c r="H102" s="6" t="s">
        <v>908</v>
      </c>
      <c r="I102" s="5">
        <v>45344</v>
      </c>
      <c r="J102" s="5">
        <v>45383</v>
      </c>
      <c r="K102" s="6" t="s">
        <v>20</v>
      </c>
      <c r="L102" s="6" t="s">
        <v>910</v>
      </c>
      <c r="M102">
        <v>39</v>
      </c>
      <c r="N102">
        <v>0</v>
      </c>
      <c r="O102" s="6" t="s">
        <v>920</v>
      </c>
    </row>
    <row r="103" spans="1:15" x14ac:dyDescent="0.3">
      <c r="A103">
        <v>1106</v>
      </c>
      <c r="B103" s="6" t="s">
        <v>47</v>
      </c>
      <c r="C103">
        <v>21</v>
      </c>
      <c r="D103" s="6" t="s">
        <v>24</v>
      </c>
      <c r="E103" s="6" t="s">
        <v>84</v>
      </c>
      <c r="F103" s="6" t="s">
        <v>716</v>
      </c>
      <c r="G103">
        <v>5</v>
      </c>
      <c r="H103" s="6" t="s">
        <v>908</v>
      </c>
      <c r="I103" s="5">
        <v>45386</v>
      </c>
      <c r="J103" s="5">
        <v>45348</v>
      </c>
      <c r="K103" s="6" t="s">
        <v>20</v>
      </c>
      <c r="L103" s="6" t="s">
        <v>910</v>
      </c>
      <c r="M103">
        <v>38</v>
      </c>
      <c r="N103">
        <v>0</v>
      </c>
      <c r="O103" s="6" t="s">
        <v>920</v>
      </c>
    </row>
    <row r="104" spans="1:15" x14ac:dyDescent="0.3">
      <c r="A104">
        <v>1390</v>
      </c>
      <c r="B104" s="6" t="s">
        <v>47</v>
      </c>
      <c r="C104">
        <v>25</v>
      </c>
      <c r="D104" s="6" t="s">
        <v>24</v>
      </c>
      <c r="E104" s="6" t="s">
        <v>84</v>
      </c>
      <c r="F104" s="6" t="s">
        <v>739</v>
      </c>
      <c r="G104">
        <v>5</v>
      </c>
      <c r="H104" s="6" t="s">
        <v>908</v>
      </c>
      <c r="I104" s="5">
        <v>45357</v>
      </c>
      <c r="J104" s="5">
        <v>45319</v>
      </c>
      <c r="K104" s="6" t="s">
        <v>40</v>
      </c>
      <c r="L104" s="6" t="s">
        <v>911</v>
      </c>
      <c r="M104">
        <v>38</v>
      </c>
      <c r="N104">
        <v>1</v>
      </c>
      <c r="O104" s="6" t="s">
        <v>920</v>
      </c>
    </row>
    <row r="105" spans="1:15" x14ac:dyDescent="0.3">
      <c r="A105">
        <v>1103</v>
      </c>
      <c r="B105" s="6" t="s">
        <v>117</v>
      </c>
      <c r="C105">
        <v>23</v>
      </c>
      <c r="D105" s="6" t="s">
        <v>24</v>
      </c>
      <c r="E105" s="6" t="s">
        <v>156</v>
      </c>
      <c r="F105" s="6" t="s">
        <v>775</v>
      </c>
      <c r="G105">
        <v>5</v>
      </c>
      <c r="H105" s="6" t="s">
        <v>76</v>
      </c>
      <c r="I105" s="5">
        <v>45413</v>
      </c>
      <c r="J105" s="5">
        <v>45375</v>
      </c>
      <c r="K105" s="6" t="s">
        <v>40</v>
      </c>
      <c r="L105" s="6" t="s">
        <v>913</v>
      </c>
      <c r="M105">
        <v>38</v>
      </c>
      <c r="N105">
        <v>1</v>
      </c>
      <c r="O105" s="6" t="s">
        <v>920</v>
      </c>
    </row>
    <row r="106" spans="1:15" x14ac:dyDescent="0.3">
      <c r="A106">
        <v>1113</v>
      </c>
      <c r="B106" s="6" t="s">
        <v>47</v>
      </c>
      <c r="C106">
        <v>18</v>
      </c>
      <c r="D106" s="6" t="s">
        <v>24</v>
      </c>
      <c r="E106" s="6" t="s">
        <v>25</v>
      </c>
      <c r="F106" s="6" t="s">
        <v>672</v>
      </c>
      <c r="G106">
        <v>1</v>
      </c>
      <c r="H106" s="6" t="s">
        <v>908</v>
      </c>
      <c r="I106" s="5">
        <v>45344</v>
      </c>
      <c r="J106" s="5">
        <v>45309</v>
      </c>
      <c r="K106" s="6" t="s">
        <v>69</v>
      </c>
      <c r="L106" s="6" t="s">
        <v>911</v>
      </c>
      <c r="M106">
        <v>35</v>
      </c>
      <c r="N106">
        <v>0</v>
      </c>
      <c r="O106" s="6" t="s">
        <v>920</v>
      </c>
    </row>
    <row r="107" spans="1:15" x14ac:dyDescent="0.3">
      <c r="A107">
        <v>1372</v>
      </c>
      <c r="B107" s="6" t="s">
        <v>120</v>
      </c>
      <c r="C107">
        <v>21</v>
      </c>
      <c r="D107" s="6" t="s">
        <v>24</v>
      </c>
      <c r="E107" s="6" t="s">
        <v>25</v>
      </c>
      <c r="F107" s="6" t="s">
        <v>851</v>
      </c>
      <c r="G107">
        <v>2</v>
      </c>
      <c r="H107" s="6" t="s">
        <v>908</v>
      </c>
      <c r="I107" s="5">
        <v>45343</v>
      </c>
      <c r="J107" s="5">
        <v>45308</v>
      </c>
      <c r="K107" s="6" t="s">
        <v>40</v>
      </c>
      <c r="L107" s="6" t="s">
        <v>1021</v>
      </c>
      <c r="M107">
        <v>35</v>
      </c>
      <c r="N107">
        <v>1</v>
      </c>
      <c r="O107" s="6" t="s">
        <v>920</v>
      </c>
    </row>
    <row r="108" spans="1:15" x14ac:dyDescent="0.3">
      <c r="A108">
        <v>1205</v>
      </c>
      <c r="B108" s="6" t="s">
        <v>155</v>
      </c>
      <c r="C108">
        <v>22</v>
      </c>
      <c r="D108" s="6" t="s">
        <v>55</v>
      </c>
      <c r="E108" s="6" t="s">
        <v>84</v>
      </c>
      <c r="F108" s="6" t="s">
        <v>724</v>
      </c>
      <c r="G108">
        <v>5</v>
      </c>
      <c r="H108" s="6" t="s">
        <v>17</v>
      </c>
      <c r="I108" s="5">
        <v>45372</v>
      </c>
      <c r="J108" s="5">
        <v>45339</v>
      </c>
      <c r="K108" s="6" t="s">
        <v>40</v>
      </c>
      <c r="L108" s="6" t="s">
        <v>911</v>
      </c>
      <c r="M108">
        <v>33</v>
      </c>
      <c r="N108">
        <v>1</v>
      </c>
      <c r="O108" s="6" t="s">
        <v>920</v>
      </c>
    </row>
    <row r="109" spans="1:15" x14ac:dyDescent="0.3">
      <c r="A109">
        <v>1129</v>
      </c>
      <c r="B109" s="6" t="s">
        <v>107</v>
      </c>
      <c r="C109">
        <v>21</v>
      </c>
      <c r="D109" s="6" t="s">
        <v>24</v>
      </c>
      <c r="E109" s="6" t="s">
        <v>156</v>
      </c>
      <c r="F109" s="6" t="s">
        <v>747</v>
      </c>
      <c r="G109">
        <v>1</v>
      </c>
      <c r="H109" s="6" t="s">
        <v>76</v>
      </c>
      <c r="I109" s="5">
        <v>45406</v>
      </c>
      <c r="J109" s="5">
        <v>45439</v>
      </c>
      <c r="K109" s="6" t="s">
        <v>40</v>
      </c>
      <c r="L109" s="6" t="s">
        <v>911</v>
      </c>
      <c r="M109">
        <v>33</v>
      </c>
      <c r="N109">
        <v>1</v>
      </c>
      <c r="O109" s="6" t="s">
        <v>920</v>
      </c>
    </row>
    <row r="110" spans="1:15" x14ac:dyDescent="0.3">
      <c r="A110">
        <v>1153</v>
      </c>
      <c r="B110" s="6" t="s">
        <v>163</v>
      </c>
      <c r="C110">
        <v>21</v>
      </c>
      <c r="D110" s="6" t="s">
        <v>55</v>
      </c>
      <c r="E110" s="6" t="s">
        <v>167</v>
      </c>
      <c r="F110" s="6" t="s">
        <v>868</v>
      </c>
      <c r="G110">
        <v>1</v>
      </c>
      <c r="H110" s="6" t="s">
        <v>17</v>
      </c>
      <c r="I110" s="5">
        <v>45390</v>
      </c>
      <c r="J110" s="5">
        <v>45357</v>
      </c>
      <c r="K110" s="6" t="s">
        <v>914</v>
      </c>
      <c r="L110" s="6" t="s">
        <v>913</v>
      </c>
      <c r="M110">
        <v>33</v>
      </c>
      <c r="N110">
        <v>0</v>
      </c>
      <c r="O110" s="6" t="s">
        <v>920</v>
      </c>
    </row>
    <row r="111" spans="1:15" x14ac:dyDescent="0.3">
      <c r="A111">
        <v>1353</v>
      </c>
      <c r="B111" s="6" t="s">
        <v>22</v>
      </c>
      <c r="C111">
        <v>19</v>
      </c>
      <c r="D111" s="6" t="s">
        <v>24</v>
      </c>
      <c r="E111" s="6" t="s">
        <v>84</v>
      </c>
      <c r="F111" s="6" t="s">
        <v>706</v>
      </c>
      <c r="G111">
        <v>3</v>
      </c>
      <c r="H111" s="6" t="s">
        <v>17</v>
      </c>
      <c r="I111" s="5">
        <v>45295</v>
      </c>
      <c r="J111" s="5">
        <v>45327</v>
      </c>
      <c r="K111" s="6" t="s">
        <v>40</v>
      </c>
      <c r="L111" s="6" t="s">
        <v>911</v>
      </c>
      <c r="M111">
        <v>32</v>
      </c>
      <c r="N111">
        <v>1</v>
      </c>
      <c r="O111" s="6" t="s">
        <v>920</v>
      </c>
    </row>
    <row r="112" spans="1:15" x14ac:dyDescent="0.3">
      <c r="A112">
        <v>1064</v>
      </c>
      <c r="B112" s="6" t="s">
        <v>163</v>
      </c>
      <c r="C112">
        <v>22</v>
      </c>
      <c r="D112" s="6" t="s">
        <v>659</v>
      </c>
      <c r="E112" s="6" t="s">
        <v>25</v>
      </c>
      <c r="F112" s="6" t="s">
        <v>718</v>
      </c>
      <c r="G112">
        <v>3</v>
      </c>
      <c r="H112" s="6" t="s">
        <v>76</v>
      </c>
      <c r="I112" s="5">
        <v>45444</v>
      </c>
      <c r="J112" s="5">
        <v>45476</v>
      </c>
      <c r="K112" s="6" t="s">
        <v>40</v>
      </c>
      <c r="L112" s="6" t="s">
        <v>910</v>
      </c>
      <c r="M112">
        <v>32</v>
      </c>
      <c r="N112">
        <v>1</v>
      </c>
      <c r="O112" s="6" t="s">
        <v>920</v>
      </c>
    </row>
    <row r="113" spans="1:15" x14ac:dyDescent="0.3">
      <c r="A113">
        <v>1077</v>
      </c>
      <c r="B113" s="6" t="s">
        <v>120</v>
      </c>
      <c r="C113">
        <v>25</v>
      </c>
      <c r="D113" s="6" t="s">
        <v>24</v>
      </c>
      <c r="E113" s="6" t="s">
        <v>156</v>
      </c>
      <c r="F113" s="6" t="s">
        <v>856</v>
      </c>
      <c r="G113">
        <v>3</v>
      </c>
      <c r="H113" s="6" t="s">
        <v>28</v>
      </c>
      <c r="I113" s="5">
        <v>45385</v>
      </c>
      <c r="J113" s="5">
        <v>45354</v>
      </c>
      <c r="K113" s="6" t="s">
        <v>20</v>
      </c>
      <c r="L113" s="6" t="s">
        <v>1021</v>
      </c>
      <c r="M113">
        <v>31</v>
      </c>
      <c r="N113">
        <v>0</v>
      </c>
      <c r="O113" s="6" t="s">
        <v>920</v>
      </c>
    </row>
    <row r="114" spans="1:15" x14ac:dyDescent="0.3">
      <c r="A114">
        <v>1008</v>
      </c>
      <c r="B114" s="6" t="s">
        <v>12</v>
      </c>
      <c r="C114">
        <v>21</v>
      </c>
      <c r="D114" s="6" t="s">
        <v>24</v>
      </c>
      <c r="E114" s="6" t="s">
        <v>156</v>
      </c>
      <c r="F114" s="6" t="s">
        <v>857</v>
      </c>
      <c r="G114">
        <v>2</v>
      </c>
      <c r="H114" s="6" t="s">
        <v>28</v>
      </c>
      <c r="I114" s="5">
        <v>45398</v>
      </c>
      <c r="J114" s="5">
        <v>45429</v>
      </c>
      <c r="K114" s="6" t="s">
        <v>40</v>
      </c>
      <c r="L114" s="6" t="s">
        <v>913</v>
      </c>
      <c r="M114">
        <v>31</v>
      </c>
      <c r="N114">
        <v>1</v>
      </c>
      <c r="O114" s="6" t="s">
        <v>920</v>
      </c>
    </row>
    <row r="115" spans="1:15" x14ac:dyDescent="0.3">
      <c r="A115">
        <v>1230</v>
      </c>
      <c r="B115" s="6" t="s">
        <v>12</v>
      </c>
      <c r="C115">
        <v>21</v>
      </c>
      <c r="D115" s="6" t="s">
        <v>55</v>
      </c>
      <c r="E115" s="6" t="s">
        <v>25</v>
      </c>
      <c r="F115" s="6" t="s">
        <v>663</v>
      </c>
      <c r="G115">
        <v>5</v>
      </c>
      <c r="H115" s="6" t="s">
        <v>17</v>
      </c>
      <c r="I115" s="5">
        <v>45370</v>
      </c>
      <c r="J115" s="5">
        <v>45399</v>
      </c>
      <c r="K115" s="6" t="s">
        <v>40</v>
      </c>
      <c r="L115" s="6" t="s">
        <v>911</v>
      </c>
      <c r="M115">
        <v>29</v>
      </c>
      <c r="N115">
        <v>1</v>
      </c>
      <c r="O115" s="6" t="s">
        <v>920</v>
      </c>
    </row>
    <row r="116" spans="1:15" x14ac:dyDescent="0.3">
      <c r="A116">
        <v>1259</v>
      </c>
      <c r="B116" s="6" t="s">
        <v>47</v>
      </c>
      <c r="C116">
        <v>23</v>
      </c>
      <c r="D116" s="6" t="s">
        <v>55</v>
      </c>
      <c r="E116" s="6" t="s">
        <v>25</v>
      </c>
      <c r="F116" s="6" t="s">
        <v>780</v>
      </c>
      <c r="G116">
        <v>1</v>
      </c>
      <c r="H116" s="6" t="s">
        <v>908</v>
      </c>
      <c r="I116" s="5">
        <v>45325</v>
      </c>
      <c r="J116" s="5">
        <v>45296</v>
      </c>
      <c r="K116" s="6" t="s">
        <v>20</v>
      </c>
      <c r="L116" s="6" t="s">
        <v>909</v>
      </c>
      <c r="M116">
        <v>29</v>
      </c>
      <c r="N116">
        <v>0</v>
      </c>
      <c r="O116" s="6" t="s">
        <v>920</v>
      </c>
    </row>
    <row r="117" spans="1:15" x14ac:dyDescent="0.3">
      <c r="A117">
        <v>1208</v>
      </c>
      <c r="B117" s="6" t="s">
        <v>47</v>
      </c>
      <c r="C117">
        <v>25</v>
      </c>
      <c r="D117" s="6" t="s">
        <v>659</v>
      </c>
      <c r="E117" s="6" t="s">
        <v>84</v>
      </c>
      <c r="F117" s="6" t="s">
        <v>738</v>
      </c>
      <c r="G117">
        <v>1</v>
      </c>
      <c r="H117" s="6" t="s">
        <v>28</v>
      </c>
      <c r="I117" s="5">
        <v>45342</v>
      </c>
      <c r="J117" s="5">
        <v>45369</v>
      </c>
      <c r="K117" s="6" t="s">
        <v>40</v>
      </c>
      <c r="L117" s="6" t="s">
        <v>913</v>
      </c>
      <c r="M117">
        <v>27</v>
      </c>
      <c r="N117">
        <v>1</v>
      </c>
      <c r="O117" s="6" t="s">
        <v>920</v>
      </c>
    </row>
    <row r="118" spans="1:15" x14ac:dyDescent="0.3">
      <c r="A118">
        <v>1056</v>
      </c>
      <c r="B118" s="6" t="s">
        <v>12</v>
      </c>
      <c r="C118">
        <v>22</v>
      </c>
      <c r="D118" s="6" t="s">
        <v>24</v>
      </c>
      <c r="E118" s="6" t="s">
        <v>25</v>
      </c>
      <c r="F118" s="6" t="s">
        <v>766</v>
      </c>
      <c r="G118">
        <v>5</v>
      </c>
      <c r="H118" s="6" t="s">
        <v>908</v>
      </c>
      <c r="I118" s="5">
        <v>45571</v>
      </c>
      <c r="J118" s="5">
        <v>45598</v>
      </c>
      <c r="K118" s="6" t="s">
        <v>40</v>
      </c>
      <c r="L118" s="6" t="s">
        <v>913</v>
      </c>
      <c r="M118">
        <v>27</v>
      </c>
      <c r="N118">
        <v>1</v>
      </c>
      <c r="O118" s="6" t="s">
        <v>920</v>
      </c>
    </row>
    <row r="119" spans="1:15" x14ac:dyDescent="0.3">
      <c r="A119">
        <v>1451</v>
      </c>
      <c r="B119" s="6" t="s">
        <v>22</v>
      </c>
      <c r="C119">
        <v>25</v>
      </c>
      <c r="D119" s="6" t="s">
        <v>659</v>
      </c>
      <c r="E119" s="6" t="s">
        <v>156</v>
      </c>
      <c r="F119" s="6" t="s">
        <v>690</v>
      </c>
      <c r="G119">
        <v>4</v>
      </c>
      <c r="H119" s="6" t="s">
        <v>28</v>
      </c>
      <c r="I119" s="5">
        <v>45427</v>
      </c>
      <c r="J119" s="5">
        <v>45401</v>
      </c>
      <c r="K119" s="6" t="s">
        <v>40</v>
      </c>
      <c r="L119" s="6" t="s">
        <v>1021</v>
      </c>
      <c r="M119">
        <v>26</v>
      </c>
      <c r="N119">
        <v>1</v>
      </c>
      <c r="O119" s="6" t="s">
        <v>920</v>
      </c>
    </row>
    <row r="120" spans="1:15" x14ac:dyDescent="0.3">
      <c r="A120">
        <v>1116</v>
      </c>
      <c r="B120" s="6" t="s">
        <v>12</v>
      </c>
      <c r="C120">
        <v>22</v>
      </c>
      <c r="D120" s="6" t="s">
        <v>55</v>
      </c>
      <c r="E120" s="6" t="s">
        <v>25</v>
      </c>
      <c r="F120" s="6" t="s">
        <v>800</v>
      </c>
      <c r="G120">
        <v>5</v>
      </c>
      <c r="H120" s="6" t="s">
        <v>17</v>
      </c>
      <c r="I120" s="5">
        <v>45433</v>
      </c>
      <c r="J120" s="5">
        <v>45407</v>
      </c>
      <c r="K120" s="6" t="s">
        <v>914</v>
      </c>
      <c r="L120" s="6" t="s">
        <v>911</v>
      </c>
      <c r="M120">
        <v>26</v>
      </c>
      <c r="N120">
        <v>0</v>
      </c>
      <c r="O120" s="6" t="s">
        <v>920</v>
      </c>
    </row>
    <row r="121" spans="1:15" x14ac:dyDescent="0.3">
      <c r="A121">
        <v>1418</v>
      </c>
      <c r="B121" s="6" t="s">
        <v>117</v>
      </c>
      <c r="C121">
        <v>19</v>
      </c>
      <c r="D121" s="6" t="s">
        <v>55</v>
      </c>
      <c r="E121" s="6" t="s">
        <v>84</v>
      </c>
      <c r="F121" s="6" t="s">
        <v>720</v>
      </c>
      <c r="G121">
        <v>5</v>
      </c>
      <c r="H121" s="6" t="s">
        <v>28</v>
      </c>
      <c r="I121" s="5">
        <v>45427</v>
      </c>
      <c r="J121" s="5">
        <v>45402</v>
      </c>
      <c r="K121" s="6" t="s">
        <v>20</v>
      </c>
      <c r="L121" s="6" t="s">
        <v>909</v>
      </c>
      <c r="M121">
        <v>25</v>
      </c>
      <c r="N121">
        <v>0</v>
      </c>
      <c r="O121" s="6" t="s">
        <v>920</v>
      </c>
    </row>
    <row r="122" spans="1:15" x14ac:dyDescent="0.3">
      <c r="A122">
        <v>1051</v>
      </c>
      <c r="B122" s="6" t="s">
        <v>163</v>
      </c>
      <c r="C122">
        <v>19</v>
      </c>
      <c r="D122" s="6" t="s">
        <v>24</v>
      </c>
      <c r="E122" s="6" t="s">
        <v>84</v>
      </c>
      <c r="F122" s="6" t="s">
        <v>761</v>
      </c>
      <c r="G122">
        <v>1</v>
      </c>
      <c r="H122" s="6" t="s">
        <v>17</v>
      </c>
      <c r="I122" s="5">
        <v>45350</v>
      </c>
      <c r="J122" s="5">
        <v>45325</v>
      </c>
      <c r="K122" s="6" t="s">
        <v>40</v>
      </c>
      <c r="L122" s="6" t="s">
        <v>911</v>
      </c>
      <c r="M122">
        <v>25</v>
      </c>
      <c r="N122">
        <v>1</v>
      </c>
      <c r="O122" s="6" t="s">
        <v>920</v>
      </c>
    </row>
    <row r="123" spans="1:15" x14ac:dyDescent="0.3">
      <c r="A123">
        <v>1359</v>
      </c>
      <c r="B123" s="6" t="s">
        <v>107</v>
      </c>
      <c r="C123">
        <v>19</v>
      </c>
      <c r="D123" s="6" t="s">
        <v>24</v>
      </c>
      <c r="E123" s="6" t="s">
        <v>25</v>
      </c>
      <c r="F123" s="6" t="s">
        <v>743</v>
      </c>
      <c r="G123">
        <v>3</v>
      </c>
      <c r="H123" s="6" t="s">
        <v>28</v>
      </c>
      <c r="I123" s="5">
        <v>45362</v>
      </c>
      <c r="J123" s="5">
        <v>45341</v>
      </c>
      <c r="K123" s="6" t="s">
        <v>20</v>
      </c>
      <c r="L123" s="6" t="s">
        <v>909</v>
      </c>
      <c r="M123">
        <v>21</v>
      </c>
      <c r="N123">
        <v>0</v>
      </c>
      <c r="O123" s="6" t="s">
        <v>920</v>
      </c>
    </row>
    <row r="124" spans="1:15" x14ac:dyDescent="0.3">
      <c r="A124">
        <v>1243</v>
      </c>
      <c r="B124" s="6" t="s">
        <v>163</v>
      </c>
      <c r="C124">
        <v>19</v>
      </c>
      <c r="D124" s="6" t="s">
        <v>24</v>
      </c>
      <c r="E124" s="6" t="s">
        <v>167</v>
      </c>
      <c r="F124" s="6" t="s">
        <v>781</v>
      </c>
      <c r="G124">
        <v>1</v>
      </c>
      <c r="H124" s="6" t="s">
        <v>28</v>
      </c>
      <c r="I124" s="5">
        <v>45315</v>
      </c>
      <c r="J124" s="5">
        <v>45336</v>
      </c>
      <c r="K124" s="6" t="s">
        <v>69</v>
      </c>
      <c r="L124" s="6" t="s">
        <v>1021</v>
      </c>
      <c r="M124">
        <v>21</v>
      </c>
      <c r="N124">
        <v>0</v>
      </c>
      <c r="O124" s="6" t="s">
        <v>920</v>
      </c>
    </row>
    <row r="125" spans="1:15" x14ac:dyDescent="0.3">
      <c r="A125">
        <v>1465</v>
      </c>
      <c r="B125" s="6" t="s">
        <v>47</v>
      </c>
      <c r="C125">
        <v>25</v>
      </c>
      <c r="D125" s="6" t="s">
        <v>659</v>
      </c>
      <c r="E125" s="6" t="s">
        <v>167</v>
      </c>
      <c r="F125" s="6" t="s">
        <v>904</v>
      </c>
      <c r="G125">
        <v>5</v>
      </c>
      <c r="H125" s="6" t="s">
        <v>908</v>
      </c>
      <c r="I125" s="5">
        <v>45343</v>
      </c>
      <c r="J125" s="5">
        <v>45364</v>
      </c>
      <c r="K125" s="6" t="s">
        <v>69</v>
      </c>
      <c r="L125" s="6" t="s">
        <v>1021</v>
      </c>
      <c r="M125">
        <v>21</v>
      </c>
      <c r="N125">
        <v>0</v>
      </c>
      <c r="O125" s="6" t="s">
        <v>920</v>
      </c>
    </row>
    <row r="126" spans="1:15" x14ac:dyDescent="0.3">
      <c r="A126">
        <v>1307</v>
      </c>
      <c r="B126" s="6" t="s">
        <v>47</v>
      </c>
      <c r="C126">
        <v>18</v>
      </c>
      <c r="D126" s="6" t="s">
        <v>24</v>
      </c>
      <c r="E126" s="6" t="s">
        <v>156</v>
      </c>
      <c r="F126" s="6" t="s">
        <v>834</v>
      </c>
      <c r="G126">
        <v>1</v>
      </c>
      <c r="H126" s="6" t="s">
        <v>17</v>
      </c>
      <c r="I126" s="5">
        <v>45403</v>
      </c>
      <c r="J126" s="5">
        <v>45383</v>
      </c>
      <c r="K126" s="6" t="s">
        <v>40</v>
      </c>
      <c r="L126" s="6" t="s">
        <v>1021</v>
      </c>
      <c r="M126">
        <v>20</v>
      </c>
      <c r="N126">
        <v>1</v>
      </c>
      <c r="O126" s="6" t="s">
        <v>920</v>
      </c>
    </row>
    <row r="127" spans="1:15" x14ac:dyDescent="0.3">
      <c r="A127">
        <v>1098</v>
      </c>
      <c r="B127" s="6" t="s">
        <v>47</v>
      </c>
      <c r="C127">
        <v>19</v>
      </c>
      <c r="D127" s="6" t="s">
        <v>659</v>
      </c>
      <c r="E127" s="6" t="s">
        <v>25</v>
      </c>
      <c r="F127" s="6" t="s">
        <v>662</v>
      </c>
      <c r="G127">
        <v>1</v>
      </c>
      <c r="H127" s="6" t="s">
        <v>17</v>
      </c>
      <c r="I127" s="5">
        <v>45300</v>
      </c>
      <c r="J127" s="5">
        <v>45319</v>
      </c>
      <c r="K127" s="6" t="s">
        <v>40</v>
      </c>
      <c r="L127" s="6" t="s">
        <v>910</v>
      </c>
      <c r="M127">
        <v>19</v>
      </c>
      <c r="N127">
        <v>1</v>
      </c>
      <c r="O127" s="6" t="s">
        <v>920</v>
      </c>
    </row>
    <row r="128" spans="1:15" x14ac:dyDescent="0.3">
      <c r="A128">
        <v>1331</v>
      </c>
      <c r="B128" s="6" t="s">
        <v>74</v>
      </c>
      <c r="C128">
        <v>25</v>
      </c>
      <c r="D128" s="6" t="s">
        <v>24</v>
      </c>
      <c r="E128" s="6" t="s">
        <v>84</v>
      </c>
      <c r="F128" s="6" t="s">
        <v>719</v>
      </c>
      <c r="G128">
        <v>3</v>
      </c>
      <c r="H128" s="6" t="s">
        <v>76</v>
      </c>
      <c r="I128" s="5">
        <v>45429</v>
      </c>
      <c r="J128" s="5">
        <v>45410</v>
      </c>
      <c r="K128" s="6" t="s">
        <v>40</v>
      </c>
      <c r="L128" s="6" t="s">
        <v>909</v>
      </c>
      <c r="M128">
        <v>19</v>
      </c>
      <c r="N128">
        <v>1</v>
      </c>
      <c r="O128" s="6" t="s">
        <v>920</v>
      </c>
    </row>
    <row r="129" spans="1:15" x14ac:dyDescent="0.3">
      <c r="A129">
        <v>1088</v>
      </c>
      <c r="B129" s="6" t="s">
        <v>163</v>
      </c>
      <c r="C129">
        <v>21</v>
      </c>
      <c r="D129" s="6" t="s">
        <v>55</v>
      </c>
      <c r="E129" s="6" t="s">
        <v>84</v>
      </c>
      <c r="F129" s="6" t="s">
        <v>886</v>
      </c>
      <c r="G129">
        <v>1</v>
      </c>
      <c r="H129" s="6" t="s">
        <v>76</v>
      </c>
      <c r="I129" s="5">
        <v>45384</v>
      </c>
      <c r="J129" s="5">
        <v>45365</v>
      </c>
      <c r="K129" s="6" t="s">
        <v>914</v>
      </c>
      <c r="L129" s="6" t="s">
        <v>909</v>
      </c>
      <c r="M129">
        <v>19</v>
      </c>
      <c r="N129">
        <v>0</v>
      </c>
      <c r="O129" s="6" t="s">
        <v>920</v>
      </c>
    </row>
    <row r="130" spans="1:15" x14ac:dyDescent="0.3">
      <c r="A130">
        <v>1045</v>
      </c>
      <c r="B130" s="6" t="s">
        <v>22</v>
      </c>
      <c r="C130">
        <v>21</v>
      </c>
      <c r="D130" s="6" t="s">
        <v>55</v>
      </c>
      <c r="E130" s="6" t="s">
        <v>156</v>
      </c>
      <c r="F130" s="6" t="s">
        <v>896</v>
      </c>
      <c r="G130">
        <v>5</v>
      </c>
      <c r="H130" s="6" t="s">
        <v>17</v>
      </c>
      <c r="I130" s="5">
        <v>45332</v>
      </c>
      <c r="J130" s="5">
        <v>45314</v>
      </c>
      <c r="K130" s="6" t="s">
        <v>69</v>
      </c>
      <c r="L130" s="6" t="s">
        <v>913</v>
      </c>
      <c r="M130">
        <v>18</v>
      </c>
      <c r="N130">
        <v>0</v>
      </c>
      <c r="O130" s="6" t="s">
        <v>920</v>
      </c>
    </row>
    <row r="131" spans="1:15" x14ac:dyDescent="0.3">
      <c r="A131">
        <v>1213</v>
      </c>
      <c r="B131" s="6" t="s">
        <v>163</v>
      </c>
      <c r="C131">
        <v>24</v>
      </c>
      <c r="D131" s="6" t="s">
        <v>24</v>
      </c>
      <c r="E131" s="6" t="s">
        <v>84</v>
      </c>
      <c r="F131" s="6" t="s">
        <v>707</v>
      </c>
      <c r="G131">
        <v>0</v>
      </c>
      <c r="H131" s="6" t="s">
        <v>28</v>
      </c>
      <c r="I131" s="5">
        <v>45308</v>
      </c>
      <c r="J131" s="5">
        <v>45325</v>
      </c>
      <c r="K131" s="6" t="s">
        <v>20</v>
      </c>
      <c r="L131" s="6" t="s">
        <v>1021</v>
      </c>
      <c r="M131">
        <v>17</v>
      </c>
      <c r="N131">
        <v>0</v>
      </c>
      <c r="O131" s="6" t="s">
        <v>920</v>
      </c>
    </row>
    <row r="132" spans="1:15" x14ac:dyDescent="0.3">
      <c r="A132">
        <v>1412</v>
      </c>
      <c r="B132" s="6" t="s">
        <v>47</v>
      </c>
      <c r="C132">
        <v>20</v>
      </c>
      <c r="D132" s="6" t="s">
        <v>55</v>
      </c>
      <c r="E132" s="6" t="s">
        <v>84</v>
      </c>
      <c r="F132" s="6" t="s">
        <v>840</v>
      </c>
      <c r="G132">
        <v>0</v>
      </c>
      <c r="H132" s="6" t="s">
        <v>908</v>
      </c>
      <c r="I132" s="5">
        <v>45354</v>
      </c>
      <c r="J132" s="5">
        <v>45370</v>
      </c>
      <c r="K132" s="6" t="s">
        <v>69</v>
      </c>
      <c r="L132" s="6" t="s">
        <v>913</v>
      </c>
      <c r="M132">
        <v>16</v>
      </c>
      <c r="N132">
        <v>0</v>
      </c>
      <c r="O132" s="6" t="s">
        <v>920</v>
      </c>
    </row>
    <row r="133" spans="1:15" x14ac:dyDescent="0.3">
      <c r="A133">
        <v>1413</v>
      </c>
      <c r="B133" s="6" t="s">
        <v>107</v>
      </c>
      <c r="C133">
        <v>22</v>
      </c>
      <c r="D133" s="6" t="s">
        <v>55</v>
      </c>
      <c r="E133" s="6" t="s">
        <v>84</v>
      </c>
      <c r="F133" s="6" t="s">
        <v>819</v>
      </c>
      <c r="G133">
        <v>4</v>
      </c>
      <c r="H133" s="6" t="s">
        <v>17</v>
      </c>
      <c r="I133" s="5">
        <v>45355</v>
      </c>
      <c r="J133" s="5">
        <v>45368</v>
      </c>
      <c r="K133" s="6" t="s">
        <v>40</v>
      </c>
      <c r="L133" s="6" t="s">
        <v>910</v>
      </c>
      <c r="M133">
        <v>13</v>
      </c>
      <c r="N133">
        <v>1</v>
      </c>
      <c r="O133" s="6" t="s">
        <v>920</v>
      </c>
    </row>
    <row r="134" spans="1:15" x14ac:dyDescent="0.3">
      <c r="A134">
        <v>1387</v>
      </c>
      <c r="B134" s="6" t="s">
        <v>47</v>
      </c>
      <c r="C134">
        <v>22</v>
      </c>
      <c r="D134" s="6" t="s">
        <v>55</v>
      </c>
      <c r="E134" s="6" t="s">
        <v>156</v>
      </c>
      <c r="F134" s="6" t="s">
        <v>715</v>
      </c>
      <c r="G134">
        <v>2</v>
      </c>
      <c r="H134" s="6" t="s">
        <v>28</v>
      </c>
      <c r="I134" s="5">
        <v>45455</v>
      </c>
      <c r="J134" s="5">
        <v>45444</v>
      </c>
      <c r="K134" s="6" t="s">
        <v>40</v>
      </c>
      <c r="L134" s="6" t="s">
        <v>911</v>
      </c>
      <c r="M134">
        <v>11</v>
      </c>
      <c r="N134">
        <v>1</v>
      </c>
      <c r="O134" s="6" t="s">
        <v>920</v>
      </c>
    </row>
    <row r="135" spans="1:15" x14ac:dyDescent="0.3">
      <c r="A135">
        <v>1174</v>
      </c>
      <c r="B135" s="6" t="s">
        <v>22</v>
      </c>
      <c r="C135">
        <v>21</v>
      </c>
      <c r="D135" s="6" t="s">
        <v>55</v>
      </c>
      <c r="E135" s="6" t="s">
        <v>25</v>
      </c>
      <c r="F135" s="6" t="s">
        <v>901</v>
      </c>
      <c r="G135">
        <v>0</v>
      </c>
      <c r="H135" s="6" t="s">
        <v>17</v>
      </c>
      <c r="I135" s="5">
        <v>45390</v>
      </c>
      <c r="J135" s="5">
        <v>45400</v>
      </c>
      <c r="K135" s="6" t="s">
        <v>914</v>
      </c>
      <c r="L135" s="6" t="s">
        <v>909</v>
      </c>
      <c r="M135">
        <v>10</v>
      </c>
      <c r="N135">
        <v>0</v>
      </c>
      <c r="O135" s="6" t="s">
        <v>920</v>
      </c>
    </row>
    <row r="136" spans="1:15" x14ac:dyDescent="0.3">
      <c r="A136">
        <v>1027</v>
      </c>
      <c r="B136" s="6" t="s">
        <v>22</v>
      </c>
      <c r="C136">
        <v>22</v>
      </c>
      <c r="D136" s="6" t="s">
        <v>659</v>
      </c>
      <c r="E136" s="6" t="s">
        <v>25</v>
      </c>
      <c r="F136" s="6" t="s">
        <v>793</v>
      </c>
      <c r="G136">
        <v>4</v>
      </c>
      <c r="H136" s="6" t="s">
        <v>908</v>
      </c>
      <c r="I136" s="5">
        <v>45348</v>
      </c>
      <c r="J136" s="5">
        <v>45339</v>
      </c>
      <c r="K136" s="6" t="s">
        <v>914</v>
      </c>
      <c r="L136" s="6" t="s">
        <v>909</v>
      </c>
      <c r="M136">
        <v>9</v>
      </c>
      <c r="N136">
        <v>0</v>
      </c>
      <c r="O136" s="6" t="s">
        <v>920</v>
      </c>
    </row>
    <row r="137" spans="1:15" x14ac:dyDescent="0.3">
      <c r="A137">
        <v>1303</v>
      </c>
      <c r="B137" s="6" t="s">
        <v>120</v>
      </c>
      <c r="C137">
        <v>20</v>
      </c>
      <c r="D137" s="6" t="s">
        <v>55</v>
      </c>
      <c r="E137" s="6" t="s">
        <v>167</v>
      </c>
      <c r="F137" s="6" t="s">
        <v>803</v>
      </c>
      <c r="G137">
        <v>1</v>
      </c>
      <c r="H137" s="6" t="s">
        <v>17</v>
      </c>
      <c r="I137" s="5">
        <v>45450</v>
      </c>
      <c r="J137" s="5">
        <v>45459</v>
      </c>
      <c r="K137" s="6" t="s">
        <v>914</v>
      </c>
      <c r="L137" s="6" t="s">
        <v>910</v>
      </c>
      <c r="M137">
        <v>9</v>
      </c>
      <c r="N137">
        <v>0</v>
      </c>
      <c r="O137" s="6" t="s">
        <v>920</v>
      </c>
    </row>
    <row r="138" spans="1:15" x14ac:dyDescent="0.3">
      <c r="A138">
        <v>1433</v>
      </c>
      <c r="B138" s="6" t="s">
        <v>120</v>
      </c>
      <c r="C138">
        <v>18</v>
      </c>
      <c r="D138" s="6" t="s">
        <v>55</v>
      </c>
      <c r="E138" s="6" t="s">
        <v>156</v>
      </c>
      <c r="F138" s="6" t="s">
        <v>816</v>
      </c>
      <c r="G138">
        <v>1</v>
      </c>
      <c r="H138" s="6" t="s">
        <v>17</v>
      </c>
      <c r="I138" s="5">
        <v>45405</v>
      </c>
      <c r="J138" s="5">
        <v>45414</v>
      </c>
      <c r="K138" s="6" t="s">
        <v>40</v>
      </c>
      <c r="L138" s="6" t="s">
        <v>913</v>
      </c>
      <c r="M138">
        <v>9</v>
      </c>
      <c r="N138">
        <v>1</v>
      </c>
      <c r="O138" s="6" t="s">
        <v>920</v>
      </c>
    </row>
    <row r="139" spans="1:15" x14ac:dyDescent="0.3">
      <c r="A139">
        <v>1459</v>
      </c>
      <c r="B139" s="6" t="s">
        <v>74</v>
      </c>
      <c r="C139">
        <v>22</v>
      </c>
      <c r="D139" s="6" t="s">
        <v>24</v>
      </c>
      <c r="E139" s="6" t="s">
        <v>156</v>
      </c>
      <c r="F139" s="6" t="s">
        <v>744</v>
      </c>
      <c r="G139">
        <v>0</v>
      </c>
      <c r="H139" s="6" t="s">
        <v>28</v>
      </c>
      <c r="I139" s="5">
        <v>45328</v>
      </c>
      <c r="J139" s="5">
        <v>45333</v>
      </c>
      <c r="K139" s="6" t="s">
        <v>20</v>
      </c>
      <c r="L139" s="6" t="s">
        <v>913</v>
      </c>
      <c r="M139">
        <v>5</v>
      </c>
      <c r="N139">
        <v>0</v>
      </c>
      <c r="O139" s="6" t="s">
        <v>920</v>
      </c>
    </row>
    <row r="140" spans="1:15" x14ac:dyDescent="0.3">
      <c r="A140">
        <v>1186</v>
      </c>
      <c r="B140" s="6" t="s">
        <v>120</v>
      </c>
      <c r="C140">
        <v>21</v>
      </c>
      <c r="D140" s="6" t="s">
        <v>659</v>
      </c>
      <c r="E140" s="6" t="s">
        <v>167</v>
      </c>
      <c r="F140" s="6" t="s">
        <v>749</v>
      </c>
      <c r="G140">
        <v>2</v>
      </c>
      <c r="H140" s="6" t="s">
        <v>76</v>
      </c>
      <c r="I140" s="5">
        <v>45332</v>
      </c>
      <c r="J140" s="5">
        <v>45337</v>
      </c>
      <c r="K140" s="6" t="s">
        <v>20</v>
      </c>
      <c r="L140" s="6" t="s">
        <v>1021</v>
      </c>
      <c r="M140">
        <v>5</v>
      </c>
      <c r="N140">
        <v>0</v>
      </c>
      <c r="O140" s="6" t="s">
        <v>920</v>
      </c>
    </row>
    <row r="141" spans="1:15" x14ac:dyDescent="0.3">
      <c r="A141">
        <v>1254</v>
      </c>
      <c r="B141" s="6" t="s">
        <v>117</v>
      </c>
      <c r="C141">
        <v>22</v>
      </c>
      <c r="D141" s="6" t="s">
        <v>55</v>
      </c>
      <c r="E141" s="6" t="s">
        <v>167</v>
      </c>
      <c r="F141" s="6" t="s">
        <v>830</v>
      </c>
      <c r="G141">
        <v>2</v>
      </c>
      <c r="H141" s="6" t="s">
        <v>28</v>
      </c>
      <c r="I141" s="5">
        <v>45345</v>
      </c>
      <c r="J141" s="5">
        <v>45350</v>
      </c>
      <c r="K141" s="6" t="s">
        <v>914</v>
      </c>
      <c r="L141" s="6" t="s">
        <v>909</v>
      </c>
      <c r="M141">
        <v>5</v>
      </c>
      <c r="N141">
        <v>0</v>
      </c>
      <c r="O141" s="6" t="s">
        <v>920</v>
      </c>
    </row>
    <row r="142" spans="1:15" x14ac:dyDescent="0.3">
      <c r="A142">
        <v>1244</v>
      </c>
      <c r="B142" s="6" t="s">
        <v>22</v>
      </c>
      <c r="C142">
        <v>25</v>
      </c>
      <c r="D142" s="6" t="s">
        <v>659</v>
      </c>
      <c r="E142" s="6" t="s">
        <v>167</v>
      </c>
      <c r="F142" s="6" t="s">
        <v>742</v>
      </c>
      <c r="G142">
        <v>4</v>
      </c>
      <c r="H142" s="6" t="s">
        <v>28</v>
      </c>
      <c r="I142" s="5">
        <v>45359</v>
      </c>
      <c r="J142" s="5">
        <v>45356</v>
      </c>
      <c r="K142" s="6" t="s">
        <v>914</v>
      </c>
      <c r="L142" s="6" t="s">
        <v>910</v>
      </c>
      <c r="M142">
        <v>3</v>
      </c>
      <c r="N142">
        <v>0</v>
      </c>
      <c r="O142" s="6" t="s">
        <v>920</v>
      </c>
    </row>
    <row r="143" spans="1:15" x14ac:dyDescent="0.3">
      <c r="A143">
        <v>1195</v>
      </c>
      <c r="B143" s="6" t="s">
        <v>107</v>
      </c>
      <c r="C143">
        <v>25</v>
      </c>
      <c r="D143" s="6" t="s">
        <v>24</v>
      </c>
      <c r="E143" s="6" t="s">
        <v>84</v>
      </c>
      <c r="F143" s="6" t="s">
        <v>906</v>
      </c>
      <c r="G143">
        <v>3</v>
      </c>
      <c r="H143" s="6" t="s">
        <v>908</v>
      </c>
      <c r="I143" s="5">
        <v>45348</v>
      </c>
      <c r="J143" s="5">
        <v>45345</v>
      </c>
      <c r="K143" s="6" t="s">
        <v>40</v>
      </c>
      <c r="L143" s="6" t="s">
        <v>911</v>
      </c>
      <c r="M143">
        <v>3</v>
      </c>
      <c r="N143">
        <v>1</v>
      </c>
      <c r="O143" s="6" t="s">
        <v>920</v>
      </c>
    </row>
    <row r="144" spans="1:15" x14ac:dyDescent="0.3">
      <c r="A144">
        <v>1385</v>
      </c>
      <c r="B144" s="6" t="s">
        <v>22</v>
      </c>
      <c r="C144">
        <v>18</v>
      </c>
      <c r="D144" s="6" t="s">
        <v>55</v>
      </c>
      <c r="E144" s="6" t="s">
        <v>84</v>
      </c>
      <c r="F144" s="6" t="s">
        <v>820</v>
      </c>
      <c r="G144">
        <v>4</v>
      </c>
      <c r="H144" s="6" t="s">
        <v>17</v>
      </c>
      <c r="I144" s="5">
        <v>45311</v>
      </c>
      <c r="J144" s="5">
        <v>45309</v>
      </c>
      <c r="K144" s="6" t="s">
        <v>40</v>
      </c>
      <c r="L144" s="6" t="s">
        <v>909</v>
      </c>
      <c r="M144">
        <v>2</v>
      </c>
      <c r="N144">
        <v>1</v>
      </c>
      <c r="O144" s="6" t="s">
        <v>920</v>
      </c>
    </row>
    <row r="145" spans="1:15" x14ac:dyDescent="0.3">
      <c r="A145">
        <v>1348</v>
      </c>
      <c r="B145" s="6" t="s">
        <v>163</v>
      </c>
      <c r="C145">
        <v>18</v>
      </c>
      <c r="D145" s="6" t="s">
        <v>24</v>
      </c>
      <c r="E145" s="6" t="s">
        <v>25</v>
      </c>
      <c r="F145" s="6" t="s">
        <v>703</v>
      </c>
      <c r="G145">
        <v>4</v>
      </c>
      <c r="H145" s="6" t="s">
        <v>17</v>
      </c>
      <c r="I145" s="5">
        <v>45327</v>
      </c>
      <c r="J145" s="5">
        <v>45328</v>
      </c>
      <c r="K145" s="6" t="s">
        <v>914</v>
      </c>
      <c r="L145" s="6" t="s">
        <v>911</v>
      </c>
      <c r="M145">
        <v>1</v>
      </c>
      <c r="N145">
        <v>0</v>
      </c>
      <c r="O145" s="6" t="s">
        <v>920</v>
      </c>
    </row>
    <row r="146" spans="1:15" x14ac:dyDescent="0.3">
      <c r="A146">
        <v>1255</v>
      </c>
      <c r="B146" s="6" t="s">
        <v>74</v>
      </c>
      <c r="C146">
        <v>21</v>
      </c>
      <c r="D146" s="6" t="s">
        <v>24</v>
      </c>
      <c r="E146" s="6" t="s">
        <v>156</v>
      </c>
      <c r="F146" s="6" t="s">
        <v>741</v>
      </c>
      <c r="G146">
        <v>1</v>
      </c>
      <c r="H146" s="6" t="s">
        <v>908</v>
      </c>
      <c r="I146" s="5">
        <v>45466</v>
      </c>
      <c r="J146" s="5">
        <v>45467</v>
      </c>
      <c r="K146" s="6" t="s">
        <v>20</v>
      </c>
      <c r="L146" s="6" t="s">
        <v>910</v>
      </c>
      <c r="M146">
        <v>1</v>
      </c>
      <c r="N146">
        <v>0</v>
      </c>
      <c r="O146" s="6" t="s">
        <v>920</v>
      </c>
    </row>
  </sheetData>
  <conditionalFormatting sqref="F1:F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F28C-8C0F-48B0-879D-F5DF1AD1ADA4}">
  <dimension ref="A1:O174"/>
  <sheetViews>
    <sheetView topLeftCell="A29" workbookViewId="0">
      <selection activeCell="B33" sqref="B33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3.6640625" style="4" bestFit="1" customWidth="1"/>
    <col min="10" max="10" width="20.33203125" style="4" bestFit="1" customWidth="1"/>
    <col min="11" max="11" width="16.5546875" bestFit="1" customWidth="1"/>
    <col min="12" max="12" width="10.44140625" bestFit="1" customWidth="1"/>
    <col min="13" max="13" width="26" bestFit="1" customWidth="1"/>
    <col min="14" max="14" width="10.777343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  <c r="L1" t="s">
        <v>11</v>
      </c>
      <c r="M1" t="s">
        <v>916</v>
      </c>
      <c r="N1" t="s">
        <v>917</v>
      </c>
      <c r="O1" t="s">
        <v>918</v>
      </c>
    </row>
    <row r="2" spans="1:15" x14ac:dyDescent="0.3">
      <c r="A2">
        <v>1394</v>
      </c>
      <c r="B2" t="s">
        <v>163</v>
      </c>
      <c r="C2">
        <v>18</v>
      </c>
      <c r="D2" t="s">
        <v>24</v>
      </c>
      <c r="E2" t="s">
        <v>84</v>
      </c>
      <c r="F2" t="s">
        <v>722</v>
      </c>
      <c r="G2">
        <v>4</v>
      </c>
      <c r="H2" t="s">
        <v>28</v>
      </c>
      <c r="I2" s="4">
        <v>45628</v>
      </c>
      <c r="J2" s="4">
        <v>45300</v>
      </c>
      <c r="K2" t="s">
        <v>40</v>
      </c>
      <c r="L2" t="s">
        <v>909</v>
      </c>
      <c r="M2">
        <v>328</v>
      </c>
      <c r="N2">
        <v>1</v>
      </c>
      <c r="O2" t="s">
        <v>920</v>
      </c>
    </row>
    <row r="3" spans="1:15" x14ac:dyDescent="0.3">
      <c r="A3">
        <v>1016</v>
      </c>
      <c r="B3" t="s">
        <v>120</v>
      </c>
      <c r="C3">
        <v>22</v>
      </c>
      <c r="D3" t="s">
        <v>24</v>
      </c>
      <c r="E3" t="s">
        <v>84</v>
      </c>
      <c r="F3" t="s">
        <v>805</v>
      </c>
      <c r="G3">
        <v>5</v>
      </c>
      <c r="H3" t="s">
        <v>28</v>
      </c>
      <c r="I3" s="4">
        <v>45628</v>
      </c>
      <c r="J3" s="4">
        <v>45315</v>
      </c>
      <c r="K3" t="s">
        <v>40</v>
      </c>
      <c r="L3" t="s">
        <v>910</v>
      </c>
      <c r="M3">
        <v>313</v>
      </c>
      <c r="N3">
        <v>1</v>
      </c>
      <c r="O3" t="s">
        <v>920</v>
      </c>
    </row>
    <row r="4" spans="1:15" x14ac:dyDescent="0.3">
      <c r="A4">
        <v>1271</v>
      </c>
      <c r="B4" t="s">
        <v>22</v>
      </c>
      <c r="C4">
        <v>21</v>
      </c>
      <c r="D4" t="s">
        <v>55</v>
      </c>
      <c r="E4" t="s">
        <v>84</v>
      </c>
      <c r="F4" t="s">
        <v>727</v>
      </c>
      <c r="G4">
        <v>5</v>
      </c>
      <c r="H4" t="s">
        <v>28</v>
      </c>
      <c r="I4" s="4">
        <v>45295</v>
      </c>
      <c r="J4" s="4">
        <v>45566</v>
      </c>
      <c r="K4" t="s">
        <v>40</v>
      </c>
      <c r="L4" t="s">
        <v>913</v>
      </c>
      <c r="M4">
        <v>271</v>
      </c>
      <c r="N4">
        <v>1</v>
      </c>
      <c r="O4" t="s">
        <v>920</v>
      </c>
    </row>
    <row r="5" spans="1:15" x14ac:dyDescent="0.3">
      <c r="A5">
        <v>1099</v>
      </c>
      <c r="B5" t="s">
        <v>155</v>
      </c>
      <c r="C5">
        <v>21</v>
      </c>
      <c r="D5" t="s">
        <v>24</v>
      </c>
      <c r="E5" t="s">
        <v>156</v>
      </c>
      <c r="F5" t="s">
        <v>701</v>
      </c>
      <c r="G5">
        <v>1</v>
      </c>
      <c r="H5" t="s">
        <v>28</v>
      </c>
      <c r="I5" s="4">
        <v>45309</v>
      </c>
      <c r="J5" s="4">
        <v>45569</v>
      </c>
      <c r="K5" t="s">
        <v>69</v>
      </c>
      <c r="L5" t="s">
        <v>912</v>
      </c>
      <c r="M5">
        <v>260</v>
      </c>
      <c r="N5">
        <v>0</v>
      </c>
      <c r="O5" t="s">
        <v>920</v>
      </c>
    </row>
    <row r="6" spans="1:15" x14ac:dyDescent="0.3">
      <c r="A6">
        <v>1467</v>
      </c>
      <c r="B6" t="s">
        <v>163</v>
      </c>
      <c r="C6">
        <v>21</v>
      </c>
      <c r="D6" t="s">
        <v>55</v>
      </c>
      <c r="E6" t="s">
        <v>167</v>
      </c>
      <c r="F6" t="s">
        <v>821</v>
      </c>
      <c r="G6">
        <v>5</v>
      </c>
      <c r="H6" t="s">
        <v>17</v>
      </c>
      <c r="I6" s="4">
        <v>45338</v>
      </c>
      <c r="J6" s="4">
        <v>45566</v>
      </c>
      <c r="K6" t="s">
        <v>914</v>
      </c>
      <c r="L6" t="s">
        <v>909</v>
      </c>
      <c r="M6">
        <v>228</v>
      </c>
      <c r="N6">
        <v>0</v>
      </c>
      <c r="O6" t="s">
        <v>920</v>
      </c>
    </row>
    <row r="7" spans="1:15" x14ac:dyDescent="0.3">
      <c r="A7">
        <v>1489</v>
      </c>
      <c r="B7" t="s">
        <v>107</v>
      </c>
      <c r="C7">
        <v>23</v>
      </c>
      <c r="D7" t="s">
        <v>659</v>
      </c>
      <c r="E7" t="s">
        <v>84</v>
      </c>
      <c r="F7" t="s">
        <v>776</v>
      </c>
      <c r="G7">
        <v>5</v>
      </c>
      <c r="H7" t="s">
        <v>908</v>
      </c>
      <c r="I7" s="4">
        <v>45327</v>
      </c>
      <c r="J7" s="4">
        <v>45539</v>
      </c>
      <c r="K7" t="s">
        <v>914</v>
      </c>
      <c r="L7" t="s">
        <v>912</v>
      </c>
      <c r="M7">
        <v>212</v>
      </c>
      <c r="N7">
        <v>0</v>
      </c>
      <c r="O7" t="s">
        <v>920</v>
      </c>
    </row>
    <row r="8" spans="1:15" x14ac:dyDescent="0.3">
      <c r="A8">
        <v>1409</v>
      </c>
      <c r="B8" t="s">
        <v>136</v>
      </c>
      <c r="C8">
        <v>20</v>
      </c>
      <c r="D8" t="s">
        <v>24</v>
      </c>
      <c r="E8" t="s">
        <v>84</v>
      </c>
      <c r="F8" t="s">
        <v>680</v>
      </c>
      <c r="G8">
        <v>3</v>
      </c>
      <c r="H8" t="s">
        <v>908</v>
      </c>
      <c r="I8" s="4">
        <v>45506</v>
      </c>
      <c r="J8" s="4">
        <v>45328</v>
      </c>
      <c r="K8" t="s">
        <v>20</v>
      </c>
      <c r="L8" t="s">
        <v>911</v>
      </c>
      <c r="M8">
        <v>178</v>
      </c>
      <c r="N8">
        <v>0</v>
      </c>
      <c r="O8" t="s">
        <v>920</v>
      </c>
    </row>
    <row r="9" spans="1:15" x14ac:dyDescent="0.3">
      <c r="A9">
        <v>1458</v>
      </c>
      <c r="B9" t="s">
        <v>22</v>
      </c>
      <c r="C9">
        <v>21</v>
      </c>
      <c r="D9" t="s">
        <v>55</v>
      </c>
      <c r="E9" t="s">
        <v>25</v>
      </c>
      <c r="F9" t="s">
        <v>865</v>
      </c>
      <c r="G9">
        <v>1</v>
      </c>
      <c r="H9" t="s">
        <v>28</v>
      </c>
      <c r="I9" s="4">
        <v>45471</v>
      </c>
      <c r="J9" s="4">
        <v>45295</v>
      </c>
      <c r="K9" t="s">
        <v>69</v>
      </c>
      <c r="L9" t="s">
        <v>910</v>
      </c>
      <c r="M9">
        <v>176</v>
      </c>
      <c r="N9">
        <v>0</v>
      </c>
      <c r="O9" t="s">
        <v>920</v>
      </c>
    </row>
    <row r="10" spans="1:15" x14ac:dyDescent="0.3">
      <c r="A10">
        <v>1070</v>
      </c>
      <c r="B10" t="s">
        <v>107</v>
      </c>
      <c r="C10">
        <v>22</v>
      </c>
      <c r="D10" t="s">
        <v>24</v>
      </c>
      <c r="E10" t="s">
        <v>167</v>
      </c>
      <c r="F10" t="s">
        <v>734</v>
      </c>
      <c r="G10">
        <v>5</v>
      </c>
      <c r="H10" t="s">
        <v>17</v>
      </c>
      <c r="I10" s="4">
        <v>45304</v>
      </c>
      <c r="J10" s="4">
        <v>45477</v>
      </c>
      <c r="K10" t="s">
        <v>40</v>
      </c>
      <c r="L10" t="s">
        <v>911</v>
      </c>
      <c r="M10">
        <v>173</v>
      </c>
      <c r="N10">
        <v>1</v>
      </c>
      <c r="O10" t="s">
        <v>920</v>
      </c>
    </row>
    <row r="11" spans="1:15" x14ac:dyDescent="0.3">
      <c r="A11">
        <v>1486</v>
      </c>
      <c r="B11" t="s">
        <v>136</v>
      </c>
      <c r="C11">
        <v>24</v>
      </c>
      <c r="D11" t="s">
        <v>55</v>
      </c>
      <c r="E11" t="s">
        <v>25</v>
      </c>
      <c r="F11" t="s">
        <v>826</v>
      </c>
      <c r="G11">
        <v>4</v>
      </c>
      <c r="H11" t="s">
        <v>28</v>
      </c>
      <c r="I11" s="4">
        <v>45425</v>
      </c>
      <c r="J11" s="4">
        <v>45597</v>
      </c>
      <c r="K11" t="s">
        <v>40</v>
      </c>
      <c r="L11" t="s">
        <v>909</v>
      </c>
      <c r="M11">
        <v>172</v>
      </c>
      <c r="N11">
        <v>1</v>
      </c>
      <c r="O11" t="s">
        <v>920</v>
      </c>
    </row>
    <row r="12" spans="1:15" x14ac:dyDescent="0.3">
      <c r="A12">
        <v>1471</v>
      </c>
      <c r="B12" t="s">
        <v>107</v>
      </c>
      <c r="C12">
        <v>21</v>
      </c>
      <c r="D12" t="s">
        <v>55</v>
      </c>
      <c r="E12" t="s">
        <v>84</v>
      </c>
      <c r="F12" t="s">
        <v>881</v>
      </c>
      <c r="G12">
        <v>4</v>
      </c>
      <c r="H12" t="s">
        <v>908</v>
      </c>
      <c r="I12" s="4">
        <v>45457</v>
      </c>
      <c r="J12" s="4">
        <v>45294</v>
      </c>
      <c r="K12" t="s">
        <v>40</v>
      </c>
      <c r="L12" t="s">
        <v>913</v>
      </c>
      <c r="M12">
        <v>163</v>
      </c>
      <c r="N12">
        <v>1</v>
      </c>
      <c r="O12" t="s">
        <v>920</v>
      </c>
    </row>
    <row r="13" spans="1:15" x14ac:dyDescent="0.3">
      <c r="A13">
        <v>1493</v>
      </c>
      <c r="B13" t="s">
        <v>74</v>
      </c>
      <c r="C13">
        <v>23</v>
      </c>
      <c r="D13" t="s">
        <v>659</v>
      </c>
      <c r="E13" t="s">
        <v>25</v>
      </c>
      <c r="F13" t="s">
        <v>855</v>
      </c>
      <c r="G13">
        <v>5</v>
      </c>
      <c r="H13" t="s">
        <v>908</v>
      </c>
      <c r="I13" s="4">
        <v>45537</v>
      </c>
      <c r="J13" s="4">
        <v>45376</v>
      </c>
      <c r="K13" t="s">
        <v>20</v>
      </c>
      <c r="L13" t="s">
        <v>911</v>
      </c>
      <c r="M13">
        <v>161</v>
      </c>
      <c r="N13">
        <v>0</v>
      </c>
      <c r="O13" t="s">
        <v>920</v>
      </c>
    </row>
    <row r="14" spans="1:15" x14ac:dyDescent="0.3">
      <c r="A14">
        <v>1278</v>
      </c>
      <c r="B14" t="s">
        <v>74</v>
      </c>
      <c r="C14">
        <v>19</v>
      </c>
      <c r="D14" t="s">
        <v>55</v>
      </c>
      <c r="E14" t="s">
        <v>156</v>
      </c>
      <c r="F14" t="s">
        <v>723</v>
      </c>
      <c r="G14">
        <v>5</v>
      </c>
      <c r="H14" t="s">
        <v>17</v>
      </c>
      <c r="I14" s="4">
        <v>45354</v>
      </c>
      <c r="J14" s="4">
        <v>45506</v>
      </c>
      <c r="K14" t="s">
        <v>914</v>
      </c>
      <c r="L14" t="s">
        <v>910</v>
      </c>
      <c r="M14">
        <v>152</v>
      </c>
      <c r="N14">
        <v>0</v>
      </c>
      <c r="O14" t="s">
        <v>920</v>
      </c>
    </row>
    <row r="15" spans="1:15" x14ac:dyDescent="0.3">
      <c r="A15">
        <v>1481</v>
      </c>
      <c r="B15" t="s">
        <v>107</v>
      </c>
      <c r="C15">
        <v>23</v>
      </c>
      <c r="D15" t="s">
        <v>55</v>
      </c>
      <c r="E15" t="s">
        <v>156</v>
      </c>
      <c r="F15" t="s">
        <v>712</v>
      </c>
      <c r="G15">
        <v>4</v>
      </c>
      <c r="H15" t="s">
        <v>17</v>
      </c>
      <c r="I15" s="4">
        <v>45450</v>
      </c>
      <c r="J15" s="4">
        <v>45299</v>
      </c>
      <c r="K15" t="s">
        <v>20</v>
      </c>
      <c r="L15" t="s">
        <v>911</v>
      </c>
      <c r="M15">
        <v>151</v>
      </c>
      <c r="N15">
        <v>0</v>
      </c>
      <c r="O15" t="s">
        <v>920</v>
      </c>
    </row>
    <row r="16" spans="1:15" x14ac:dyDescent="0.3">
      <c r="A16">
        <v>1256</v>
      </c>
      <c r="B16" t="s">
        <v>155</v>
      </c>
      <c r="C16">
        <v>22</v>
      </c>
      <c r="D16" t="s">
        <v>659</v>
      </c>
      <c r="E16" t="s">
        <v>156</v>
      </c>
      <c r="F16" t="s">
        <v>817</v>
      </c>
      <c r="G16">
        <v>1</v>
      </c>
      <c r="H16" t="s">
        <v>17</v>
      </c>
      <c r="I16" s="4">
        <v>45389</v>
      </c>
      <c r="J16" s="4">
        <v>45536</v>
      </c>
      <c r="K16" t="s">
        <v>40</v>
      </c>
      <c r="L16" t="s">
        <v>910</v>
      </c>
      <c r="M16">
        <v>147</v>
      </c>
      <c r="N16">
        <v>1</v>
      </c>
      <c r="O16" t="s">
        <v>920</v>
      </c>
    </row>
    <row r="17" spans="1:15" x14ac:dyDescent="0.3">
      <c r="A17">
        <v>1003</v>
      </c>
      <c r="B17" t="s">
        <v>12</v>
      </c>
      <c r="C17">
        <v>22</v>
      </c>
      <c r="D17" t="s">
        <v>24</v>
      </c>
      <c r="E17" t="s">
        <v>25</v>
      </c>
      <c r="F17" t="s">
        <v>778</v>
      </c>
      <c r="G17">
        <v>1</v>
      </c>
      <c r="H17" t="s">
        <v>908</v>
      </c>
      <c r="I17" s="4">
        <v>45457</v>
      </c>
      <c r="J17" s="4">
        <v>45602</v>
      </c>
      <c r="K17" t="s">
        <v>40</v>
      </c>
      <c r="L17" t="s">
        <v>911</v>
      </c>
      <c r="M17">
        <v>145</v>
      </c>
      <c r="N17">
        <v>1</v>
      </c>
      <c r="O17" t="s">
        <v>920</v>
      </c>
    </row>
    <row r="18" spans="1:15" x14ac:dyDescent="0.3">
      <c r="A18">
        <v>1169</v>
      </c>
      <c r="B18" t="s">
        <v>136</v>
      </c>
      <c r="C18">
        <v>22</v>
      </c>
      <c r="D18" t="s">
        <v>24</v>
      </c>
      <c r="E18" t="s">
        <v>167</v>
      </c>
      <c r="F18" t="s">
        <v>878</v>
      </c>
      <c r="G18">
        <v>5</v>
      </c>
      <c r="H18" t="s">
        <v>28</v>
      </c>
      <c r="I18" s="4">
        <v>45437</v>
      </c>
      <c r="J18" s="4">
        <v>45295</v>
      </c>
      <c r="K18" t="s">
        <v>40</v>
      </c>
      <c r="L18" t="s">
        <v>911</v>
      </c>
      <c r="M18">
        <v>142</v>
      </c>
      <c r="N18">
        <v>1</v>
      </c>
      <c r="O18" t="s">
        <v>920</v>
      </c>
    </row>
    <row r="19" spans="1:15" x14ac:dyDescent="0.3">
      <c r="A19">
        <v>1468</v>
      </c>
      <c r="B19" t="s">
        <v>32</v>
      </c>
      <c r="C19">
        <v>19</v>
      </c>
      <c r="D19" t="s">
        <v>55</v>
      </c>
      <c r="E19" t="s">
        <v>84</v>
      </c>
      <c r="F19" t="s">
        <v>754</v>
      </c>
      <c r="G19">
        <v>5</v>
      </c>
      <c r="H19" t="s">
        <v>908</v>
      </c>
      <c r="I19" s="4">
        <v>45296</v>
      </c>
      <c r="J19" s="4">
        <v>45437</v>
      </c>
      <c r="K19" t="s">
        <v>40</v>
      </c>
      <c r="L19" t="s">
        <v>913</v>
      </c>
      <c r="M19">
        <v>141</v>
      </c>
      <c r="N19">
        <v>1</v>
      </c>
      <c r="O19" t="s">
        <v>920</v>
      </c>
    </row>
    <row r="20" spans="1:15" x14ac:dyDescent="0.3">
      <c r="A20">
        <v>1497</v>
      </c>
      <c r="B20" t="s">
        <v>163</v>
      </c>
      <c r="C20">
        <v>24</v>
      </c>
      <c r="D20" t="s">
        <v>24</v>
      </c>
      <c r="E20" t="s">
        <v>25</v>
      </c>
      <c r="F20" t="s">
        <v>871</v>
      </c>
      <c r="G20">
        <v>2</v>
      </c>
      <c r="H20" t="s">
        <v>908</v>
      </c>
      <c r="I20" s="4">
        <v>45292</v>
      </c>
      <c r="J20" s="4">
        <v>45431</v>
      </c>
      <c r="K20" t="s">
        <v>40</v>
      </c>
      <c r="L20" t="s">
        <v>909</v>
      </c>
      <c r="M20">
        <v>139</v>
      </c>
      <c r="N20">
        <v>1</v>
      </c>
      <c r="O20" t="s">
        <v>920</v>
      </c>
    </row>
    <row r="21" spans="1:15" x14ac:dyDescent="0.3">
      <c r="A21">
        <v>1312</v>
      </c>
      <c r="B21" t="s">
        <v>12</v>
      </c>
      <c r="C21">
        <v>25</v>
      </c>
      <c r="D21" t="s">
        <v>55</v>
      </c>
      <c r="E21" t="s">
        <v>167</v>
      </c>
      <c r="F21" t="s">
        <v>755</v>
      </c>
      <c r="G21">
        <v>5</v>
      </c>
      <c r="H21" t="s">
        <v>17</v>
      </c>
      <c r="I21" s="4">
        <v>45461</v>
      </c>
      <c r="J21" s="4">
        <v>45325</v>
      </c>
      <c r="K21" t="s">
        <v>40</v>
      </c>
      <c r="L21" t="s">
        <v>909</v>
      </c>
      <c r="M21">
        <v>136</v>
      </c>
      <c r="N21">
        <v>1</v>
      </c>
      <c r="O21" t="s">
        <v>920</v>
      </c>
    </row>
    <row r="22" spans="1:15" x14ac:dyDescent="0.3">
      <c r="A22">
        <v>1375</v>
      </c>
      <c r="B22" t="s">
        <v>74</v>
      </c>
      <c r="C22">
        <v>19</v>
      </c>
      <c r="D22" t="s">
        <v>55</v>
      </c>
      <c r="E22" t="s">
        <v>156</v>
      </c>
      <c r="F22" t="s">
        <v>864</v>
      </c>
      <c r="G22">
        <v>0</v>
      </c>
      <c r="H22" t="s">
        <v>17</v>
      </c>
      <c r="I22" s="4">
        <v>45475</v>
      </c>
      <c r="J22" s="4">
        <v>45339</v>
      </c>
      <c r="K22" t="s">
        <v>40</v>
      </c>
      <c r="L22" t="s">
        <v>912</v>
      </c>
      <c r="M22">
        <v>136</v>
      </c>
      <c r="N22">
        <v>1</v>
      </c>
      <c r="O22" t="s">
        <v>920</v>
      </c>
    </row>
    <row r="23" spans="1:15" x14ac:dyDescent="0.3">
      <c r="A23">
        <v>1496</v>
      </c>
      <c r="B23" t="s">
        <v>12</v>
      </c>
      <c r="C23">
        <v>24</v>
      </c>
      <c r="D23" t="s">
        <v>55</v>
      </c>
      <c r="E23" t="s">
        <v>25</v>
      </c>
      <c r="F23" t="s">
        <v>846</v>
      </c>
      <c r="G23">
        <v>2</v>
      </c>
      <c r="H23" t="s">
        <v>908</v>
      </c>
      <c r="I23" s="4">
        <v>45313</v>
      </c>
      <c r="J23" s="4">
        <v>45447</v>
      </c>
      <c r="K23" t="s">
        <v>40</v>
      </c>
      <c r="L23" t="s">
        <v>911</v>
      </c>
      <c r="M23">
        <v>134</v>
      </c>
      <c r="N23">
        <v>1</v>
      </c>
      <c r="O23" t="s">
        <v>920</v>
      </c>
    </row>
    <row r="24" spans="1:15" x14ac:dyDescent="0.3">
      <c r="A24">
        <v>1324</v>
      </c>
      <c r="B24" t="s">
        <v>107</v>
      </c>
      <c r="C24">
        <v>19</v>
      </c>
      <c r="D24" t="s">
        <v>659</v>
      </c>
      <c r="E24" t="s">
        <v>25</v>
      </c>
      <c r="F24" t="s">
        <v>822</v>
      </c>
      <c r="G24">
        <v>1</v>
      </c>
      <c r="H24" t="s">
        <v>28</v>
      </c>
      <c r="I24" s="4">
        <v>45461</v>
      </c>
      <c r="J24" s="4">
        <v>45328</v>
      </c>
      <c r="K24" t="s">
        <v>40</v>
      </c>
      <c r="L24" t="s">
        <v>911</v>
      </c>
      <c r="M24">
        <v>133</v>
      </c>
      <c r="N24">
        <v>1</v>
      </c>
      <c r="O24" t="s">
        <v>920</v>
      </c>
    </row>
    <row r="25" spans="1:15" x14ac:dyDescent="0.3">
      <c r="A25">
        <v>1214</v>
      </c>
      <c r="B25" t="s">
        <v>22</v>
      </c>
      <c r="C25">
        <v>19</v>
      </c>
      <c r="D25" t="s">
        <v>55</v>
      </c>
      <c r="E25" t="s">
        <v>84</v>
      </c>
      <c r="F25" t="s">
        <v>669</v>
      </c>
      <c r="G25">
        <v>0</v>
      </c>
      <c r="H25" t="s">
        <v>908</v>
      </c>
      <c r="I25" s="4">
        <v>45310</v>
      </c>
      <c r="J25" s="4">
        <v>45439</v>
      </c>
      <c r="K25" t="s">
        <v>40</v>
      </c>
      <c r="L25" t="s">
        <v>910</v>
      </c>
      <c r="M25">
        <v>129</v>
      </c>
      <c r="N25">
        <v>1</v>
      </c>
      <c r="O25" t="s">
        <v>920</v>
      </c>
    </row>
    <row r="26" spans="1:15" x14ac:dyDescent="0.3">
      <c r="A26">
        <v>1366</v>
      </c>
      <c r="B26" t="s">
        <v>163</v>
      </c>
      <c r="C26">
        <v>20</v>
      </c>
      <c r="D26" t="s">
        <v>659</v>
      </c>
      <c r="E26" t="s">
        <v>84</v>
      </c>
      <c r="F26" t="s">
        <v>797</v>
      </c>
      <c r="G26">
        <v>0</v>
      </c>
      <c r="H26" t="s">
        <v>17</v>
      </c>
      <c r="I26" s="4">
        <v>45327</v>
      </c>
      <c r="J26" s="4">
        <v>45448</v>
      </c>
      <c r="K26" t="s">
        <v>20</v>
      </c>
      <c r="L26" t="s">
        <v>910</v>
      </c>
      <c r="M26">
        <v>121</v>
      </c>
      <c r="N26">
        <v>0</v>
      </c>
      <c r="O26" t="s">
        <v>920</v>
      </c>
    </row>
    <row r="27" spans="1:15" x14ac:dyDescent="0.3">
      <c r="A27">
        <v>1135</v>
      </c>
      <c r="B27" t="s">
        <v>32</v>
      </c>
      <c r="C27">
        <v>21</v>
      </c>
      <c r="D27" t="s">
        <v>55</v>
      </c>
      <c r="E27" t="s">
        <v>84</v>
      </c>
      <c r="F27" t="s">
        <v>699</v>
      </c>
      <c r="G27">
        <v>1</v>
      </c>
      <c r="H27" t="s">
        <v>28</v>
      </c>
      <c r="I27" s="4">
        <v>45311</v>
      </c>
      <c r="J27" s="4">
        <v>45429</v>
      </c>
      <c r="K27" t="s">
        <v>69</v>
      </c>
      <c r="L27" t="s">
        <v>912</v>
      </c>
      <c r="M27">
        <v>118</v>
      </c>
      <c r="N27">
        <v>0</v>
      </c>
      <c r="O27" t="s">
        <v>920</v>
      </c>
    </row>
    <row r="28" spans="1:15" x14ac:dyDescent="0.3">
      <c r="A28">
        <v>1262</v>
      </c>
      <c r="B28" t="s">
        <v>74</v>
      </c>
      <c r="C28">
        <v>24</v>
      </c>
      <c r="D28" t="s">
        <v>659</v>
      </c>
      <c r="E28" t="s">
        <v>25</v>
      </c>
      <c r="F28" t="s">
        <v>783</v>
      </c>
      <c r="G28">
        <v>5</v>
      </c>
      <c r="H28" t="s">
        <v>908</v>
      </c>
      <c r="I28" s="4">
        <v>45462</v>
      </c>
      <c r="J28" s="4">
        <v>45347</v>
      </c>
      <c r="K28" t="s">
        <v>69</v>
      </c>
      <c r="L28" t="s">
        <v>909</v>
      </c>
      <c r="M28">
        <v>115</v>
      </c>
      <c r="N28">
        <v>0</v>
      </c>
      <c r="O28" t="s">
        <v>920</v>
      </c>
    </row>
    <row r="29" spans="1:15" x14ac:dyDescent="0.3">
      <c r="A29">
        <v>1014</v>
      </c>
      <c r="B29" t="s">
        <v>107</v>
      </c>
      <c r="C29">
        <v>22</v>
      </c>
      <c r="D29" t="s">
        <v>659</v>
      </c>
      <c r="E29" t="s">
        <v>25</v>
      </c>
      <c r="F29" t="s">
        <v>786</v>
      </c>
      <c r="G29">
        <v>2</v>
      </c>
      <c r="H29" t="s">
        <v>17</v>
      </c>
      <c r="I29" s="4">
        <v>45430</v>
      </c>
      <c r="J29" s="4">
        <v>45315</v>
      </c>
      <c r="K29" t="s">
        <v>40</v>
      </c>
      <c r="L29" t="s">
        <v>913</v>
      </c>
      <c r="M29">
        <v>115</v>
      </c>
      <c r="N29">
        <v>1</v>
      </c>
      <c r="O29" t="s">
        <v>920</v>
      </c>
    </row>
    <row r="30" spans="1:15" x14ac:dyDescent="0.3">
      <c r="A30">
        <v>1475</v>
      </c>
      <c r="B30" t="s">
        <v>74</v>
      </c>
      <c r="C30">
        <v>22</v>
      </c>
      <c r="D30" t="s">
        <v>55</v>
      </c>
      <c r="E30" t="s">
        <v>25</v>
      </c>
      <c r="F30" t="s">
        <v>767</v>
      </c>
      <c r="G30">
        <v>0</v>
      </c>
      <c r="H30" t="s">
        <v>28</v>
      </c>
      <c r="I30" s="4">
        <v>45426</v>
      </c>
      <c r="J30" s="4">
        <v>45312</v>
      </c>
      <c r="K30" t="s">
        <v>20</v>
      </c>
      <c r="L30" t="s">
        <v>912</v>
      </c>
      <c r="M30">
        <v>114</v>
      </c>
      <c r="N30">
        <v>0</v>
      </c>
      <c r="O30" t="s">
        <v>920</v>
      </c>
    </row>
    <row r="31" spans="1:15" x14ac:dyDescent="0.3">
      <c r="A31">
        <v>1319</v>
      </c>
      <c r="B31" t="s">
        <v>155</v>
      </c>
      <c r="C31">
        <v>23</v>
      </c>
      <c r="D31" t="s">
        <v>55</v>
      </c>
      <c r="E31" t="s">
        <v>156</v>
      </c>
      <c r="F31" t="s">
        <v>842</v>
      </c>
      <c r="G31">
        <v>5</v>
      </c>
      <c r="H31" t="s">
        <v>17</v>
      </c>
      <c r="I31" s="4">
        <v>45333</v>
      </c>
      <c r="J31" s="4">
        <v>45447</v>
      </c>
      <c r="K31" t="s">
        <v>69</v>
      </c>
      <c r="L31" t="s">
        <v>910</v>
      </c>
      <c r="M31">
        <v>114</v>
      </c>
      <c r="N31">
        <v>0</v>
      </c>
      <c r="O31" t="s">
        <v>920</v>
      </c>
    </row>
    <row r="32" spans="1:15" x14ac:dyDescent="0.3">
      <c r="A32">
        <v>1391</v>
      </c>
      <c r="B32" t="s">
        <v>12</v>
      </c>
      <c r="C32">
        <v>23</v>
      </c>
      <c r="D32" t="s">
        <v>24</v>
      </c>
      <c r="E32" t="s">
        <v>25</v>
      </c>
      <c r="F32" t="s">
        <v>824</v>
      </c>
      <c r="G32">
        <v>1</v>
      </c>
      <c r="H32" t="s">
        <v>28</v>
      </c>
      <c r="I32" s="4">
        <v>45407</v>
      </c>
      <c r="J32" s="4">
        <v>45295</v>
      </c>
      <c r="K32" t="s">
        <v>40</v>
      </c>
      <c r="L32" t="s">
        <v>913</v>
      </c>
      <c r="M32">
        <v>112</v>
      </c>
      <c r="N32">
        <v>1</v>
      </c>
      <c r="O32" t="s">
        <v>920</v>
      </c>
    </row>
    <row r="33" spans="1:15" x14ac:dyDescent="0.3">
      <c r="A33">
        <v>1096</v>
      </c>
      <c r="B33" t="s">
        <v>22</v>
      </c>
      <c r="C33">
        <v>21</v>
      </c>
      <c r="D33" t="s">
        <v>24</v>
      </c>
      <c r="E33" t="s">
        <v>25</v>
      </c>
      <c r="F33" t="s">
        <v>685</v>
      </c>
      <c r="G33">
        <v>5</v>
      </c>
      <c r="H33" t="s">
        <v>908</v>
      </c>
      <c r="I33" s="4">
        <v>45345</v>
      </c>
      <c r="J33" s="4">
        <v>45456</v>
      </c>
      <c r="K33" t="s">
        <v>69</v>
      </c>
      <c r="L33" t="s">
        <v>910</v>
      </c>
      <c r="M33">
        <v>111</v>
      </c>
      <c r="N33">
        <v>0</v>
      </c>
      <c r="O33" t="s">
        <v>920</v>
      </c>
    </row>
    <row r="34" spans="1:15" x14ac:dyDescent="0.3">
      <c r="A34">
        <v>1430</v>
      </c>
      <c r="B34" t="s">
        <v>22</v>
      </c>
      <c r="C34">
        <v>22</v>
      </c>
      <c r="D34" t="s">
        <v>55</v>
      </c>
      <c r="E34" t="s">
        <v>84</v>
      </c>
      <c r="F34" t="s">
        <v>677</v>
      </c>
      <c r="G34">
        <v>5</v>
      </c>
      <c r="H34" t="s">
        <v>76</v>
      </c>
      <c r="I34" s="4">
        <v>45538</v>
      </c>
      <c r="J34" s="4">
        <v>45429</v>
      </c>
      <c r="K34" t="s">
        <v>40</v>
      </c>
      <c r="L34" t="s">
        <v>913</v>
      </c>
      <c r="M34">
        <v>109</v>
      </c>
      <c r="N34">
        <v>1</v>
      </c>
      <c r="O34" t="s">
        <v>920</v>
      </c>
    </row>
    <row r="35" spans="1:15" x14ac:dyDescent="0.3">
      <c r="A35">
        <v>1330</v>
      </c>
      <c r="B35" t="s">
        <v>107</v>
      </c>
      <c r="C35">
        <v>23</v>
      </c>
      <c r="D35" t="s">
        <v>55</v>
      </c>
      <c r="E35" t="s">
        <v>167</v>
      </c>
      <c r="F35" t="s">
        <v>798</v>
      </c>
      <c r="G35">
        <v>0</v>
      </c>
      <c r="H35" t="s">
        <v>908</v>
      </c>
      <c r="I35" s="4">
        <v>45432</v>
      </c>
      <c r="J35" s="4">
        <v>45324</v>
      </c>
      <c r="K35" t="s">
        <v>914</v>
      </c>
      <c r="L35" t="s">
        <v>911</v>
      </c>
      <c r="M35">
        <v>108</v>
      </c>
      <c r="N35">
        <v>0</v>
      </c>
      <c r="O35" t="s">
        <v>920</v>
      </c>
    </row>
    <row r="36" spans="1:15" x14ac:dyDescent="0.3">
      <c r="A36">
        <v>1440</v>
      </c>
      <c r="B36" t="s">
        <v>47</v>
      </c>
      <c r="C36">
        <v>18</v>
      </c>
      <c r="D36" t="s">
        <v>24</v>
      </c>
      <c r="E36" t="s">
        <v>167</v>
      </c>
      <c r="F36" t="s">
        <v>880</v>
      </c>
      <c r="G36">
        <v>3</v>
      </c>
      <c r="H36" t="s">
        <v>28</v>
      </c>
      <c r="I36" s="4">
        <v>45326</v>
      </c>
      <c r="J36" s="4">
        <v>45431</v>
      </c>
      <c r="K36" t="s">
        <v>40</v>
      </c>
      <c r="L36" t="s">
        <v>912</v>
      </c>
      <c r="M36">
        <v>105</v>
      </c>
      <c r="N36">
        <v>1</v>
      </c>
      <c r="O36" t="s">
        <v>920</v>
      </c>
    </row>
    <row r="37" spans="1:15" x14ac:dyDescent="0.3">
      <c r="A37">
        <v>1434</v>
      </c>
      <c r="B37" t="s">
        <v>136</v>
      </c>
      <c r="C37">
        <v>19</v>
      </c>
      <c r="D37" t="s">
        <v>24</v>
      </c>
      <c r="E37" t="s">
        <v>25</v>
      </c>
      <c r="F37" t="s">
        <v>753</v>
      </c>
      <c r="G37">
        <v>5</v>
      </c>
      <c r="H37" t="s">
        <v>17</v>
      </c>
      <c r="I37" s="4">
        <v>45324</v>
      </c>
      <c r="J37" s="4">
        <v>45426</v>
      </c>
      <c r="K37" t="s">
        <v>69</v>
      </c>
      <c r="L37" t="s">
        <v>913</v>
      </c>
      <c r="M37">
        <v>102</v>
      </c>
      <c r="N37">
        <v>0</v>
      </c>
      <c r="O37" t="s">
        <v>920</v>
      </c>
    </row>
    <row r="38" spans="1:15" x14ac:dyDescent="0.3">
      <c r="A38">
        <v>1247</v>
      </c>
      <c r="B38" t="s">
        <v>22</v>
      </c>
      <c r="C38">
        <v>24</v>
      </c>
      <c r="D38" t="s">
        <v>659</v>
      </c>
      <c r="E38" t="s">
        <v>156</v>
      </c>
      <c r="F38" t="s">
        <v>877</v>
      </c>
      <c r="G38">
        <v>4</v>
      </c>
      <c r="H38" t="s">
        <v>17</v>
      </c>
      <c r="I38" s="4">
        <v>45398</v>
      </c>
      <c r="J38" s="4">
        <v>45296</v>
      </c>
      <c r="K38" t="s">
        <v>20</v>
      </c>
      <c r="L38" t="s">
        <v>909</v>
      </c>
      <c r="M38">
        <v>102</v>
      </c>
      <c r="N38">
        <v>0</v>
      </c>
      <c r="O38" t="s">
        <v>920</v>
      </c>
    </row>
    <row r="39" spans="1:15" x14ac:dyDescent="0.3">
      <c r="A39">
        <v>1002</v>
      </c>
      <c r="B39" t="s">
        <v>32</v>
      </c>
      <c r="C39">
        <v>22</v>
      </c>
      <c r="D39" t="s">
        <v>659</v>
      </c>
      <c r="E39" t="s">
        <v>25</v>
      </c>
      <c r="F39" t="s">
        <v>691</v>
      </c>
      <c r="G39">
        <v>4</v>
      </c>
      <c r="H39" t="s">
        <v>76</v>
      </c>
      <c r="I39" s="4">
        <v>45308</v>
      </c>
      <c r="J39" s="4">
        <v>45408</v>
      </c>
      <c r="K39" t="s">
        <v>69</v>
      </c>
      <c r="L39" t="s">
        <v>912</v>
      </c>
      <c r="M39">
        <v>100</v>
      </c>
      <c r="N39">
        <v>0</v>
      </c>
      <c r="O39" t="s">
        <v>920</v>
      </c>
    </row>
    <row r="40" spans="1:15" x14ac:dyDescent="0.3">
      <c r="A40">
        <v>1340</v>
      </c>
      <c r="B40" t="s">
        <v>155</v>
      </c>
      <c r="C40">
        <v>25</v>
      </c>
      <c r="D40" t="s">
        <v>55</v>
      </c>
      <c r="E40" t="s">
        <v>167</v>
      </c>
      <c r="F40" t="s">
        <v>692</v>
      </c>
      <c r="G40">
        <v>1</v>
      </c>
      <c r="H40" t="s">
        <v>28</v>
      </c>
      <c r="I40" s="4">
        <v>45505</v>
      </c>
      <c r="J40" s="4">
        <v>45405</v>
      </c>
      <c r="K40" t="s">
        <v>40</v>
      </c>
      <c r="L40" t="s">
        <v>913</v>
      </c>
      <c r="M40">
        <v>100</v>
      </c>
      <c r="N40">
        <v>1</v>
      </c>
      <c r="O40" t="s">
        <v>920</v>
      </c>
    </row>
    <row r="41" spans="1:15" x14ac:dyDescent="0.3">
      <c r="A41">
        <v>1460</v>
      </c>
      <c r="B41" t="s">
        <v>120</v>
      </c>
      <c r="C41">
        <v>18</v>
      </c>
      <c r="D41" t="s">
        <v>24</v>
      </c>
      <c r="E41" t="s">
        <v>156</v>
      </c>
      <c r="F41" t="s">
        <v>831</v>
      </c>
      <c r="G41">
        <v>4</v>
      </c>
      <c r="H41" t="s">
        <v>17</v>
      </c>
      <c r="I41" s="4">
        <v>45298</v>
      </c>
      <c r="J41" s="4">
        <v>45397</v>
      </c>
      <c r="K41" t="s">
        <v>69</v>
      </c>
      <c r="L41" t="s">
        <v>912</v>
      </c>
      <c r="M41">
        <v>99</v>
      </c>
      <c r="N41">
        <v>0</v>
      </c>
      <c r="O41" t="s">
        <v>920</v>
      </c>
    </row>
    <row r="42" spans="1:15" x14ac:dyDescent="0.3">
      <c r="A42">
        <v>1380</v>
      </c>
      <c r="B42" t="s">
        <v>107</v>
      </c>
      <c r="C42">
        <v>25</v>
      </c>
      <c r="D42" t="s">
        <v>55</v>
      </c>
      <c r="E42" t="s">
        <v>156</v>
      </c>
      <c r="F42" t="s">
        <v>702</v>
      </c>
      <c r="G42">
        <v>5</v>
      </c>
      <c r="H42" t="s">
        <v>76</v>
      </c>
      <c r="I42" s="4">
        <v>45456</v>
      </c>
      <c r="J42" s="4">
        <v>45359</v>
      </c>
      <c r="K42" t="s">
        <v>40</v>
      </c>
      <c r="L42" t="s">
        <v>909</v>
      </c>
      <c r="M42">
        <v>97</v>
      </c>
      <c r="N42">
        <v>1</v>
      </c>
      <c r="O42" t="s">
        <v>920</v>
      </c>
    </row>
    <row r="43" spans="1:15" x14ac:dyDescent="0.3">
      <c r="A43">
        <v>1139</v>
      </c>
      <c r="B43" t="s">
        <v>22</v>
      </c>
      <c r="C43">
        <v>22</v>
      </c>
      <c r="D43" t="s">
        <v>659</v>
      </c>
      <c r="E43" t="s">
        <v>84</v>
      </c>
      <c r="F43" t="s">
        <v>772</v>
      </c>
      <c r="G43">
        <v>4</v>
      </c>
      <c r="H43" t="s">
        <v>28</v>
      </c>
      <c r="I43" s="4">
        <v>45570</v>
      </c>
      <c r="J43" s="4">
        <v>45474</v>
      </c>
      <c r="K43" t="s">
        <v>40</v>
      </c>
      <c r="L43" t="s">
        <v>912</v>
      </c>
      <c r="M43">
        <v>96</v>
      </c>
      <c r="N43">
        <v>1</v>
      </c>
      <c r="O43" t="s">
        <v>920</v>
      </c>
    </row>
    <row r="44" spans="1:15" x14ac:dyDescent="0.3">
      <c r="A44">
        <v>1357</v>
      </c>
      <c r="B44" t="s">
        <v>117</v>
      </c>
      <c r="C44">
        <v>25</v>
      </c>
      <c r="D44" t="s">
        <v>24</v>
      </c>
      <c r="E44" t="s">
        <v>84</v>
      </c>
      <c r="F44" t="s">
        <v>892</v>
      </c>
      <c r="G44">
        <v>1</v>
      </c>
      <c r="H44" t="s">
        <v>76</v>
      </c>
      <c r="I44" s="4">
        <v>45313</v>
      </c>
      <c r="J44" s="4">
        <v>45408</v>
      </c>
      <c r="K44" t="s">
        <v>69</v>
      </c>
      <c r="L44" t="s">
        <v>912</v>
      </c>
      <c r="M44">
        <v>95</v>
      </c>
      <c r="N44">
        <v>0</v>
      </c>
      <c r="O44" t="s">
        <v>920</v>
      </c>
    </row>
    <row r="45" spans="1:15" x14ac:dyDescent="0.3">
      <c r="A45">
        <v>1300</v>
      </c>
      <c r="B45" t="s">
        <v>163</v>
      </c>
      <c r="C45">
        <v>22</v>
      </c>
      <c r="D45" t="s">
        <v>659</v>
      </c>
      <c r="E45" t="s">
        <v>25</v>
      </c>
      <c r="F45" t="s">
        <v>833</v>
      </c>
      <c r="G45">
        <v>5</v>
      </c>
      <c r="H45" t="s">
        <v>17</v>
      </c>
      <c r="I45" s="4">
        <v>45360</v>
      </c>
      <c r="J45" s="4">
        <v>45454</v>
      </c>
      <c r="K45" t="s">
        <v>40</v>
      </c>
      <c r="L45" t="s">
        <v>913</v>
      </c>
      <c r="M45">
        <v>94</v>
      </c>
      <c r="N45">
        <v>1</v>
      </c>
      <c r="O45" t="s">
        <v>920</v>
      </c>
    </row>
    <row r="46" spans="1:15" x14ac:dyDescent="0.3">
      <c r="A46">
        <v>1158</v>
      </c>
      <c r="B46" t="s">
        <v>74</v>
      </c>
      <c r="C46">
        <v>21</v>
      </c>
      <c r="D46" t="s">
        <v>659</v>
      </c>
      <c r="E46" t="s">
        <v>167</v>
      </c>
      <c r="F46" t="s">
        <v>732</v>
      </c>
      <c r="G46">
        <v>0</v>
      </c>
      <c r="H46" t="s">
        <v>17</v>
      </c>
      <c r="I46" s="4">
        <v>45379</v>
      </c>
      <c r="J46" s="4">
        <v>45471</v>
      </c>
      <c r="K46" t="s">
        <v>40</v>
      </c>
      <c r="L46" t="s">
        <v>910</v>
      </c>
      <c r="M46">
        <v>92</v>
      </c>
      <c r="N46">
        <v>1</v>
      </c>
      <c r="O46" t="s">
        <v>920</v>
      </c>
    </row>
    <row r="47" spans="1:15" x14ac:dyDescent="0.3">
      <c r="A47">
        <v>1371</v>
      </c>
      <c r="B47" t="s">
        <v>155</v>
      </c>
      <c r="C47">
        <v>20</v>
      </c>
      <c r="D47" t="s">
        <v>24</v>
      </c>
      <c r="E47" t="s">
        <v>84</v>
      </c>
      <c r="F47" t="s">
        <v>736</v>
      </c>
      <c r="G47">
        <v>2</v>
      </c>
      <c r="H47" t="s">
        <v>76</v>
      </c>
      <c r="I47" s="4">
        <v>45373</v>
      </c>
      <c r="J47" s="4">
        <v>45465</v>
      </c>
      <c r="K47" t="s">
        <v>40</v>
      </c>
      <c r="L47" t="s">
        <v>913</v>
      </c>
      <c r="M47">
        <v>92</v>
      </c>
      <c r="N47">
        <v>1</v>
      </c>
      <c r="O47" t="s">
        <v>920</v>
      </c>
    </row>
    <row r="48" spans="1:15" x14ac:dyDescent="0.3">
      <c r="A48">
        <v>1305</v>
      </c>
      <c r="B48" t="s">
        <v>163</v>
      </c>
      <c r="C48">
        <v>21</v>
      </c>
      <c r="D48" t="s">
        <v>24</v>
      </c>
      <c r="E48" t="s">
        <v>156</v>
      </c>
      <c r="F48" t="s">
        <v>688</v>
      </c>
      <c r="G48">
        <v>5</v>
      </c>
      <c r="H48" t="s">
        <v>17</v>
      </c>
      <c r="I48" s="4">
        <v>45312</v>
      </c>
      <c r="J48" s="4">
        <v>45403</v>
      </c>
      <c r="K48" t="s">
        <v>69</v>
      </c>
      <c r="L48" t="s">
        <v>912</v>
      </c>
      <c r="M48">
        <v>91</v>
      </c>
      <c r="N48">
        <v>0</v>
      </c>
      <c r="O48" t="s">
        <v>920</v>
      </c>
    </row>
    <row r="49" spans="1:15" x14ac:dyDescent="0.3">
      <c r="A49">
        <v>1047</v>
      </c>
      <c r="B49" t="s">
        <v>32</v>
      </c>
      <c r="C49">
        <v>21</v>
      </c>
      <c r="D49" t="s">
        <v>24</v>
      </c>
      <c r="E49" t="s">
        <v>84</v>
      </c>
      <c r="F49" t="s">
        <v>674</v>
      </c>
      <c r="G49">
        <v>5</v>
      </c>
      <c r="H49" t="s">
        <v>17</v>
      </c>
      <c r="I49" s="4">
        <v>45451</v>
      </c>
      <c r="J49" s="4">
        <v>45539</v>
      </c>
      <c r="K49" t="s">
        <v>40</v>
      </c>
      <c r="L49" t="s">
        <v>913</v>
      </c>
      <c r="M49">
        <v>88</v>
      </c>
      <c r="N49">
        <v>1</v>
      </c>
      <c r="O49" t="s">
        <v>920</v>
      </c>
    </row>
    <row r="50" spans="1:15" x14ac:dyDescent="0.3">
      <c r="A50">
        <v>1126</v>
      </c>
      <c r="B50" t="s">
        <v>107</v>
      </c>
      <c r="C50">
        <v>20</v>
      </c>
      <c r="D50" t="s">
        <v>55</v>
      </c>
      <c r="E50" t="s">
        <v>156</v>
      </c>
      <c r="F50" t="s">
        <v>673</v>
      </c>
      <c r="G50">
        <v>5</v>
      </c>
      <c r="H50" t="s">
        <v>28</v>
      </c>
      <c r="I50" s="4">
        <v>45305</v>
      </c>
      <c r="J50" s="4">
        <v>45392</v>
      </c>
      <c r="K50" t="s">
        <v>69</v>
      </c>
      <c r="L50" t="s">
        <v>910</v>
      </c>
      <c r="M50">
        <v>87</v>
      </c>
      <c r="N50">
        <v>0</v>
      </c>
      <c r="O50" t="s">
        <v>920</v>
      </c>
    </row>
    <row r="51" spans="1:15" x14ac:dyDescent="0.3">
      <c r="A51">
        <v>1265</v>
      </c>
      <c r="B51" t="s">
        <v>74</v>
      </c>
      <c r="C51">
        <v>18</v>
      </c>
      <c r="D51" t="s">
        <v>55</v>
      </c>
      <c r="E51" t="s">
        <v>84</v>
      </c>
      <c r="F51" t="s">
        <v>784</v>
      </c>
      <c r="G51">
        <v>1</v>
      </c>
      <c r="H51" t="s">
        <v>908</v>
      </c>
      <c r="I51" s="4">
        <v>45360</v>
      </c>
      <c r="J51" s="4">
        <v>45447</v>
      </c>
      <c r="K51" t="s">
        <v>69</v>
      </c>
      <c r="L51" t="s">
        <v>913</v>
      </c>
      <c r="M51">
        <v>87</v>
      </c>
      <c r="N51">
        <v>0</v>
      </c>
      <c r="O51" t="s">
        <v>920</v>
      </c>
    </row>
    <row r="52" spans="1:15" x14ac:dyDescent="0.3">
      <c r="A52">
        <v>1323</v>
      </c>
      <c r="B52" t="s">
        <v>47</v>
      </c>
      <c r="C52">
        <v>19</v>
      </c>
      <c r="D52" t="s">
        <v>55</v>
      </c>
      <c r="E52" t="s">
        <v>156</v>
      </c>
      <c r="F52" t="s">
        <v>832</v>
      </c>
      <c r="G52">
        <v>0</v>
      </c>
      <c r="H52" t="s">
        <v>28</v>
      </c>
      <c r="I52" s="4">
        <v>45470</v>
      </c>
      <c r="J52" s="4">
        <v>45384</v>
      </c>
      <c r="K52" t="s">
        <v>40</v>
      </c>
      <c r="L52" t="s">
        <v>912</v>
      </c>
      <c r="M52">
        <v>86</v>
      </c>
      <c r="N52">
        <v>1</v>
      </c>
      <c r="O52" t="s">
        <v>920</v>
      </c>
    </row>
    <row r="53" spans="1:15" x14ac:dyDescent="0.3">
      <c r="A53">
        <v>1373</v>
      </c>
      <c r="B53" t="s">
        <v>12</v>
      </c>
      <c r="C53">
        <v>21</v>
      </c>
      <c r="D53" t="s">
        <v>24</v>
      </c>
      <c r="E53" t="s">
        <v>84</v>
      </c>
      <c r="F53" t="s">
        <v>763</v>
      </c>
      <c r="G53">
        <v>5</v>
      </c>
      <c r="H53" t="s">
        <v>908</v>
      </c>
      <c r="I53" s="4">
        <v>45428</v>
      </c>
      <c r="J53" s="4">
        <v>45343</v>
      </c>
      <c r="K53" t="s">
        <v>40</v>
      </c>
      <c r="L53" t="s">
        <v>913</v>
      </c>
      <c r="M53">
        <v>85</v>
      </c>
      <c r="N53">
        <v>1</v>
      </c>
      <c r="O53" t="s">
        <v>920</v>
      </c>
    </row>
    <row r="54" spans="1:15" x14ac:dyDescent="0.3">
      <c r="A54">
        <v>1076</v>
      </c>
      <c r="B54" t="s">
        <v>120</v>
      </c>
      <c r="C54">
        <v>21</v>
      </c>
      <c r="D54" t="s">
        <v>659</v>
      </c>
      <c r="E54" t="s">
        <v>84</v>
      </c>
      <c r="F54" t="s">
        <v>713</v>
      </c>
      <c r="G54">
        <v>2</v>
      </c>
      <c r="H54" t="s">
        <v>908</v>
      </c>
      <c r="I54" s="4">
        <v>45318</v>
      </c>
      <c r="J54" s="4">
        <v>45401</v>
      </c>
      <c r="K54" t="s">
        <v>40</v>
      </c>
      <c r="L54" t="s">
        <v>911</v>
      </c>
      <c r="M54">
        <v>83</v>
      </c>
      <c r="N54">
        <v>1</v>
      </c>
      <c r="O54" t="s">
        <v>920</v>
      </c>
    </row>
    <row r="55" spans="1:15" x14ac:dyDescent="0.3">
      <c r="A55">
        <v>1476</v>
      </c>
      <c r="B55" t="s">
        <v>12</v>
      </c>
      <c r="C55">
        <v>21</v>
      </c>
      <c r="D55" t="s">
        <v>55</v>
      </c>
      <c r="E55" t="s">
        <v>25</v>
      </c>
      <c r="F55" t="s">
        <v>661</v>
      </c>
      <c r="G55">
        <v>0</v>
      </c>
      <c r="H55" t="s">
        <v>17</v>
      </c>
      <c r="I55" s="4">
        <v>45426</v>
      </c>
      <c r="J55" s="4">
        <v>45508</v>
      </c>
      <c r="K55" t="s">
        <v>69</v>
      </c>
      <c r="L55" t="s">
        <v>909</v>
      </c>
      <c r="M55">
        <v>82</v>
      </c>
      <c r="N55">
        <v>0</v>
      </c>
      <c r="O55" t="s">
        <v>920</v>
      </c>
    </row>
    <row r="56" spans="1:15" x14ac:dyDescent="0.3">
      <c r="A56">
        <v>1238</v>
      </c>
      <c r="B56" t="s">
        <v>107</v>
      </c>
      <c r="C56">
        <v>21</v>
      </c>
      <c r="D56" t="s">
        <v>55</v>
      </c>
      <c r="E56" t="s">
        <v>25</v>
      </c>
      <c r="F56" t="s">
        <v>887</v>
      </c>
      <c r="G56">
        <v>5</v>
      </c>
      <c r="H56" t="s">
        <v>908</v>
      </c>
      <c r="I56" s="4">
        <v>45329</v>
      </c>
      <c r="J56" s="4">
        <v>45409</v>
      </c>
      <c r="K56" t="s">
        <v>40</v>
      </c>
      <c r="L56" t="s">
        <v>909</v>
      </c>
      <c r="M56">
        <v>80</v>
      </c>
      <c r="N56">
        <v>1</v>
      </c>
      <c r="O56" t="s">
        <v>920</v>
      </c>
    </row>
    <row r="57" spans="1:15" x14ac:dyDescent="0.3">
      <c r="A57">
        <v>1123</v>
      </c>
      <c r="B57" t="s">
        <v>22</v>
      </c>
      <c r="C57">
        <v>20</v>
      </c>
      <c r="D57" t="s">
        <v>55</v>
      </c>
      <c r="E57" t="s">
        <v>84</v>
      </c>
      <c r="F57" t="s">
        <v>667</v>
      </c>
      <c r="G57">
        <v>3</v>
      </c>
      <c r="H57" t="s">
        <v>17</v>
      </c>
      <c r="I57" s="4">
        <v>45444</v>
      </c>
      <c r="J57" s="4">
        <v>45365</v>
      </c>
      <c r="K57" t="s">
        <v>40</v>
      </c>
      <c r="L57" t="s">
        <v>909</v>
      </c>
      <c r="M57">
        <v>79</v>
      </c>
      <c r="N57">
        <v>1</v>
      </c>
      <c r="O57" t="s">
        <v>920</v>
      </c>
    </row>
    <row r="58" spans="1:15" x14ac:dyDescent="0.3">
      <c r="A58">
        <v>1314</v>
      </c>
      <c r="B58" t="s">
        <v>47</v>
      </c>
      <c r="C58">
        <v>19</v>
      </c>
      <c r="D58" t="s">
        <v>659</v>
      </c>
      <c r="E58" t="s">
        <v>25</v>
      </c>
      <c r="F58" t="s">
        <v>721</v>
      </c>
      <c r="G58">
        <v>5</v>
      </c>
      <c r="H58" t="s">
        <v>28</v>
      </c>
      <c r="I58" s="4">
        <v>45377</v>
      </c>
      <c r="J58" s="4">
        <v>45298</v>
      </c>
      <c r="K58" t="s">
        <v>40</v>
      </c>
      <c r="L58" t="s">
        <v>909</v>
      </c>
      <c r="M58">
        <v>79</v>
      </c>
      <c r="N58">
        <v>1</v>
      </c>
      <c r="O58" t="s">
        <v>920</v>
      </c>
    </row>
    <row r="59" spans="1:15" x14ac:dyDescent="0.3">
      <c r="A59">
        <v>1411</v>
      </c>
      <c r="B59" t="s">
        <v>22</v>
      </c>
      <c r="C59">
        <v>21</v>
      </c>
      <c r="D59" t="s">
        <v>55</v>
      </c>
      <c r="E59" t="s">
        <v>25</v>
      </c>
      <c r="F59" t="s">
        <v>729</v>
      </c>
      <c r="G59">
        <v>0</v>
      </c>
      <c r="H59" t="s">
        <v>908</v>
      </c>
      <c r="I59" s="4">
        <v>45417</v>
      </c>
      <c r="J59" s="4">
        <v>45340</v>
      </c>
      <c r="K59" t="s">
        <v>40</v>
      </c>
      <c r="L59" t="s">
        <v>911</v>
      </c>
      <c r="M59">
        <v>77</v>
      </c>
      <c r="N59">
        <v>1</v>
      </c>
      <c r="O59" t="s">
        <v>920</v>
      </c>
    </row>
    <row r="60" spans="1:15" x14ac:dyDescent="0.3">
      <c r="A60">
        <v>1065</v>
      </c>
      <c r="B60" t="s">
        <v>32</v>
      </c>
      <c r="C60">
        <v>19</v>
      </c>
      <c r="D60" t="s">
        <v>659</v>
      </c>
      <c r="E60" t="s">
        <v>167</v>
      </c>
      <c r="F60" t="s">
        <v>860</v>
      </c>
      <c r="G60">
        <v>2</v>
      </c>
      <c r="H60" t="s">
        <v>17</v>
      </c>
      <c r="I60" s="4">
        <v>45387</v>
      </c>
      <c r="J60" s="4">
        <v>45310</v>
      </c>
      <c r="K60" t="s">
        <v>40</v>
      </c>
      <c r="L60" t="s">
        <v>912</v>
      </c>
      <c r="M60">
        <v>77</v>
      </c>
      <c r="N60">
        <v>1</v>
      </c>
      <c r="O60" t="s">
        <v>920</v>
      </c>
    </row>
    <row r="61" spans="1:15" x14ac:dyDescent="0.3">
      <c r="A61">
        <v>1176</v>
      </c>
      <c r="B61" t="s">
        <v>74</v>
      </c>
      <c r="C61">
        <v>22</v>
      </c>
      <c r="D61" t="s">
        <v>24</v>
      </c>
      <c r="E61" t="s">
        <v>25</v>
      </c>
      <c r="F61" t="s">
        <v>698</v>
      </c>
      <c r="G61">
        <v>4</v>
      </c>
      <c r="H61" t="s">
        <v>908</v>
      </c>
      <c r="I61" s="4">
        <v>45399</v>
      </c>
      <c r="J61" s="4">
        <v>45323</v>
      </c>
      <c r="K61" t="s">
        <v>69</v>
      </c>
      <c r="L61" t="s">
        <v>909</v>
      </c>
      <c r="M61">
        <v>76</v>
      </c>
      <c r="N61">
        <v>0</v>
      </c>
      <c r="O61" t="s">
        <v>920</v>
      </c>
    </row>
    <row r="62" spans="1:15" x14ac:dyDescent="0.3">
      <c r="A62">
        <v>1321</v>
      </c>
      <c r="B62" t="s">
        <v>74</v>
      </c>
      <c r="C62">
        <v>19</v>
      </c>
      <c r="D62" t="s">
        <v>24</v>
      </c>
      <c r="E62" t="s">
        <v>167</v>
      </c>
      <c r="F62" t="s">
        <v>828</v>
      </c>
      <c r="G62">
        <v>4</v>
      </c>
      <c r="H62" t="s">
        <v>17</v>
      </c>
      <c r="I62" s="4">
        <v>45339</v>
      </c>
      <c r="J62" s="4">
        <v>45414</v>
      </c>
      <c r="K62" t="s">
        <v>40</v>
      </c>
      <c r="L62" t="s">
        <v>909</v>
      </c>
      <c r="M62">
        <v>75</v>
      </c>
      <c r="N62">
        <v>1</v>
      </c>
      <c r="O62" t="s">
        <v>920</v>
      </c>
    </row>
    <row r="63" spans="1:15" x14ac:dyDescent="0.3">
      <c r="A63">
        <v>1322</v>
      </c>
      <c r="B63" t="s">
        <v>136</v>
      </c>
      <c r="C63">
        <v>21</v>
      </c>
      <c r="D63" t="s">
        <v>24</v>
      </c>
      <c r="E63" t="s">
        <v>84</v>
      </c>
      <c r="F63" t="s">
        <v>694</v>
      </c>
      <c r="G63">
        <v>4</v>
      </c>
      <c r="H63" t="s">
        <v>17</v>
      </c>
      <c r="I63" s="4">
        <v>45384</v>
      </c>
      <c r="J63" s="4">
        <v>45311</v>
      </c>
      <c r="K63" t="s">
        <v>40</v>
      </c>
      <c r="L63" t="s">
        <v>910</v>
      </c>
      <c r="M63">
        <v>73</v>
      </c>
      <c r="N63">
        <v>1</v>
      </c>
      <c r="O63" t="s">
        <v>920</v>
      </c>
    </row>
    <row r="64" spans="1:15" x14ac:dyDescent="0.3">
      <c r="A64">
        <v>1361</v>
      </c>
      <c r="B64" t="s">
        <v>74</v>
      </c>
      <c r="C64">
        <v>25</v>
      </c>
      <c r="D64" t="s">
        <v>55</v>
      </c>
      <c r="E64" t="s">
        <v>25</v>
      </c>
      <c r="F64" t="s">
        <v>700</v>
      </c>
      <c r="G64">
        <v>5</v>
      </c>
      <c r="H64" t="s">
        <v>908</v>
      </c>
      <c r="I64" s="4">
        <v>45336</v>
      </c>
      <c r="J64" s="4">
        <v>45409</v>
      </c>
      <c r="K64" t="s">
        <v>40</v>
      </c>
      <c r="L64" t="s">
        <v>913</v>
      </c>
      <c r="M64">
        <v>73</v>
      </c>
      <c r="N64">
        <v>1</v>
      </c>
      <c r="O64" t="s">
        <v>920</v>
      </c>
    </row>
    <row r="65" spans="1:15" x14ac:dyDescent="0.3">
      <c r="A65">
        <v>1424</v>
      </c>
      <c r="B65" t="s">
        <v>74</v>
      </c>
      <c r="C65">
        <v>22</v>
      </c>
      <c r="D65" t="s">
        <v>659</v>
      </c>
      <c r="E65" t="s">
        <v>167</v>
      </c>
      <c r="F65" t="s">
        <v>849</v>
      </c>
      <c r="G65">
        <v>5</v>
      </c>
      <c r="H65" t="s">
        <v>908</v>
      </c>
      <c r="I65" s="4">
        <v>45310</v>
      </c>
      <c r="J65" s="4">
        <v>45383</v>
      </c>
      <c r="K65" t="s">
        <v>20</v>
      </c>
      <c r="L65" t="s">
        <v>913</v>
      </c>
      <c r="M65">
        <v>73</v>
      </c>
      <c r="N65">
        <v>0</v>
      </c>
      <c r="O65" t="s">
        <v>920</v>
      </c>
    </row>
    <row r="66" spans="1:15" x14ac:dyDescent="0.3">
      <c r="A66">
        <v>1365</v>
      </c>
      <c r="B66" t="s">
        <v>22</v>
      </c>
      <c r="C66">
        <v>24</v>
      </c>
      <c r="D66" t="s">
        <v>659</v>
      </c>
      <c r="E66" t="s">
        <v>156</v>
      </c>
      <c r="F66" t="s">
        <v>735</v>
      </c>
      <c r="G66">
        <v>1</v>
      </c>
      <c r="H66" t="s">
        <v>908</v>
      </c>
      <c r="I66" s="4">
        <v>45445</v>
      </c>
      <c r="J66" s="4">
        <v>45374</v>
      </c>
      <c r="K66" t="s">
        <v>914</v>
      </c>
      <c r="L66" t="s">
        <v>909</v>
      </c>
      <c r="M66">
        <v>71</v>
      </c>
      <c r="N66">
        <v>0</v>
      </c>
      <c r="O66" t="s">
        <v>920</v>
      </c>
    </row>
    <row r="67" spans="1:15" x14ac:dyDescent="0.3">
      <c r="A67">
        <v>1354</v>
      </c>
      <c r="B67" t="s">
        <v>22</v>
      </c>
      <c r="C67">
        <v>19</v>
      </c>
      <c r="D67" t="s">
        <v>24</v>
      </c>
      <c r="E67" t="s">
        <v>156</v>
      </c>
      <c r="F67" t="s">
        <v>777</v>
      </c>
      <c r="G67">
        <v>1</v>
      </c>
      <c r="H67" t="s">
        <v>28</v>
      </c>
      <c r="I67" s="4">
        <v>45316</v>
      </c>
      <c r="J67" s="4">
        <v>45386</v>
      </c>
      <c r="K67" t="s">
        <v>914</v>
      </c>
      <c r="L67" t="s">
        <v>909</v>
      </c>
      <c r="M67">
        <v>70</v>
      </c>
      <c r="N67">
        <v>0</v>
      </c>
      <c r="O67" t="s">
        <v>920</v>
      </c>
    </row>
    <row r="68" spans="1:15" x14ac:dyDescent="0.3">
      <c r="A68">
        <v>1222</v>
      </c>
      <c r="B68" t="s">
        <v>136</v>
      </c>
      <c r="C68">
        <v>21</v>
      </c>
      <c r="D68" t="s">
        <v>55</v>
      </c>
      <c r="E68" t="s">
        <v>167</v>
      </c>
      <c r="F68" t="s">
        <v>861</v>
      </c>
      <c r="G68">
        <v>4</v>
      </c>
      <c r="H68" t="s">
        <v>28</v>
      </c>
      <c r="I68" s="4">
        <v>45301</v>
      </c>
      <c r="J68" s="4">
        <v>45370</v>
      </c>
      <c r="K68" t="s">
        <v>40</v>
      </c>
      <c r="L68" t="s">
        <v>913</v>
      </c>
      <c r="M68">
        <v>69</v>
      </c>
      <c r="N68">
        <v>1</v>
      </c>
      <c r="O68" t="s">
        <v>920</v>
      </c>
    </row>
    <row r="69" spans="1:15" x14ac:dyDescent="0.3">
      <c r="A69">
        <v>1484</v>
      </c>
      <c r="B69" t="s">
        <v>107</v>
      </c>
      <c r="C69">
        <v>20</v>
      </c>
      <c r="D69" t="s">
        <v>55</v>
      </c>
      <c r="E69" t="s">
        <v>25</v>
      </c>
      <c r="F69" t="s">
        <v>726</v>
      </c>
      <c r="G69">
        <v>5</v>
      </c>
      <c r="H69" t="s">
        <v>17</v>
      </c>
      <c r="I69" s="4">
        <v>45376</v>
      </c>
      <c r="J69" s="4">
        <v>45444</v>
      </c>
      <c r="K69" t="s">
        <v>914</v>
      </c>
      <c r="L69" t="s">
        <v>913</v>
      </c>
      <c r="M69">
        <v>68</v>
      </c>
      <c r="N69">
        <v>0</v>
      </c>
      <c r="O69" t="s">
        <v>920</v>
      </c>
    </row>
    <row r="70" spans="1:15" x14ac:dyDescent="0.3">
      <c r="A70">
        <v>1290</v>
      </c>
      <c r="B70" t="s">
        <v>22</v>
      </c>
      <c r="C70">
        <v>21</v>
      </c>
      <c r="D70" t="s">
        <v>55</v>
      </c>
      <c r="E70" t="s">
        <v>25</v>
      </c>
      <c r="F70" t="s">
        <v>711</v>
      </c>
      <c r="G70">
        <v>0</v>
      </c>
      <c r="H70" t="s">
        <v>28</v>
      </c>
      <c r="I70" s="4">
        <v>45413</v>
      </c>
      <c r="J70" s="4">
        <v>45346</v>
      </c>
      <c r="K70" t="s">
        <v>40</v>
      </c>
      <c r="L70" t="s">
        <v>912</v>
      </c>
      <c r="M70">
        <v>67</v>
      </c>
      <c r="N70">
        <v>1</v>
      </c>
      <c r="O70" t="s">
        <v>920</v>
      </c>
    </row>
    <row r="71" spans="1:15" x14ac:dyDescent="0.3">
      <c r="A71">
        <v>1206</v>
      </c>
      <c r="B71" t="s">
        <v>32</v>
      </c>
      <c r="C71">
        <v>22</v>
      </c>
      <c r="D71" t="s">
        <v>24</v>
      </c>
      <c r="E71" t="s">
        <v>25</v>
      </c>
      <c r="F71" t="s">
        <v>858</v>
      </c>
      <c r="G71">
        <v>5</v>
      </c>
      <c r="H71" t="s">
        <v>908</v>
      </c>
      <c r="I71" s="4">
        <v>45438</v>
      </c>
      <c r="J71" s="4">
        <v>45372</v>
      </c>
      <c r="K71" t="s">
        <v>69</v>
      </c>
      <c r="L71" t="s">
        <v>912</v>
      </c>
      <c r="M71">
        <v>66</v>
      </c>
      <c r="N71">
        <v>0</v>
      </c>
      <c r="O71" t="s">
        <v>920</v>
      </c>
    </row>
    <row r="72" spans="1:15" x14ac:dyDescent="0.3">
      <c r="A72">
        <v>1146</v>
      </c>
      <c r="B72" t="s">
        <v>117</v>
      </c>
      <c r="C72">
        <v>25</v>
      </c>
      <c r="D72" t="s">
        <v>659</v>
      </c>
      <c r="E72" t="s">
        <v>84</v>
      </c>
      <c r="F72" t="s">
        <v>725</v>
      </c>
      <c r="G72">
        <v>0</v>
      </c>
      <c r="H72" t="s">
        <v>76</v>
      </c>
      <c r="I72" s="4">
        <v>45448</v>
      </c>
      <c r="J72" s="4">
        <v>45383</v>
      </c>
      <c r="K72" t="s">
        <v>69</v>
      </c>
      <c r="L72" t="s">
        <v>913</v>
      </c>
      <c r="M72">
        <v>65</v>
      </c>
      <c r="N72">
        <v>0</v>
      </c>
      <c r="O72" t="s">
        <v>920</v>
      </c>
    </row>
    <row r="73" spans="1:15" x14ac:dyDescent="0.3">
      <c r="A73">
        <v>1141</v>
      </c>
      <c r="B73" t="s">
        <v>136</v>
      </c>
      <c r="C73">
        <v>25</v>
      </c>
      <c r="D73" t="s">
        <v>55</v>
      </c>
      <c r="E73" t="s">
        <v>25</v>
      </c>
      <c r="F73" t="s">
        <v>839</v>
      </c>
      <c r="G73">
        <v>1</v>
      </c>
      <c r="H73" t="s">
        <v>28</v>
      </c>
      <c r="I73" s="4">
        <v>45311</v>
      </c>
      <c r="J73" s="4">
        <v>45376</v>
      </c>
      <c r="K73" t="s">
        <v>20</v>
      </c>
      <c r="L73" t="s">
        <v>909</v>
      </c>
      <c r="M73">
        <v>65</v>
      </c>
      <c r="N73">
        <v>0</v>
      </c>
      <c r="O73" t="s">
        <v>920</v>
      </c>
    </row>
    <row r="74" spans="1:15" x14ac:dyDescent="0.3">
      <c r="A74">
        <v>1073</v>
      </c>
      <c r="B74" t="s">
        <v>107</v>
      </c>
      <c r="C74">
        <v>22</v>
      </c>
      <c r="D74" t="s">
        <v>24</v>
      </c>
      <c r="E74" t="s">
        <v>156</v>
      </c>
      <c r="F74" t="s">
        <v>903</v>
      </c>
      <c r="G74">
        <v>2</v>
      </c>
      <c r="H74" t="s">
        <v>17</v>
      </c>
      <c r="I74" s="4">
        <v>45358</v>
      </c>
      <c r="J74" s="4">
        <v>45293</v>
      </c>
      <c r="K74" t="s">
        <v>69</v>
      </c>
      <c r="L74" t="s">
        <v>909</v>
      </c>
      <c r="M74">
        <v>65</v>
      </c>
      <c r="N74">
        <v>0</v>
      </c>
      <c r="O74" t="s">
        <v>920</v>
      </c>
    </row>
    <row r="75" spans="1:15" x14ac:dyDescent="0.3">
      <c r="A75">
        <v>1325</v>
      </c>
      <c r="B75" t="s">
        <v>47</v>
      </c>
      <c r="C75">
        <v>21</v>
      </c>
      <c r="D75" t="s">
        <v>55</v>
      </c>
      <c r="E75" t="s">
        <v>156</v>
      </c>
      <c r="F75" t="s">
        <v>717</v>
      </c>
      <c r="G75">
        <v>5</v>
      </c>
      <c r="H75" t="s">
        <v>17</v>
      </c>
      <c r="I75" s="4">
        <v>45429</v>
      </c>
      <c r="J75" s="4">
        <v>45365</v>
      </c>
      <c r="K75" t="s">
        <v>40</v>
      </c>
      <c r="L75" t="s">
        <v>911</v>
      </c>
      <c r="M75">
        <v>64</v>
      </c>
      <c r="N75">
        <v>1</v>
      </c>
      <c r="O75" t="s">
        <v>920</v>
      </c>
    </row>
    <row r="76" spans="1:15" x14ac:dyDescent="0.3">
      <c r="A76">
        <v>1420</v>
      </c>
      <c r="B76" t="s">
        <v>22</v>
      </c>
      <c r="C76">
        <v>19</v>
      </c>
      <c r="D76" t="s">
        <v>659</v>
      </c>
      <c r="E76" t="s">
        <v>25</v>
      </c>
      <c r="F76" t="s">
        <v>684</v>
      </c>
      <c r="G76">
        <v>3</v>
      </c>
      <c r="H76" t="s">
        <v>908</v>
      </c>
      <c r="I76" s="4">
        <v>45420</v>
      </c>
      <c r="J76" s="4">
        <v>45357</v>
      </c>
      <c r="K76" t="s">
        <v>69</v>
      </c>
      <c r="L76" t="s">
        <v>910</v>
      </c>
      <c r="M76">
        <v>63</v>
      </c>
      <c r="N76">
        <v>0</v>
      </c>
      <c r="O76" t="s">
        <v>920</v>
      </c>
    </row>
    <row r="77" spans="1:15" x14ac:dyDescent="0.3">
      <c r="A77">
        <v>1360</v>
      </c>
      <c r="B77" t="s">
        <v>47</v>
      </c>
      <c r="C77">
        <v>18</v>
      </c>
      <c r="D77" t="s">
        <v>55</v>
      </c>
      <c r="E77" t="s">
        <v>167</v>
      </c>
      <c r="F77" t="s">
        <v>807</v>
      </c>
      <c r="G77">
        <v>1</v>
      </c>
      <c r="H77" t="s">
        <v>908</v>
      </c>
      <c r="I77" s="4">
        <v>45311</v>
      </c>
      <c r="J77" s="4">
        <v>45374</v>
      </c>
      <c r="K77" t="s">
        <v>40</v>
      </c>
      <c r="L77" t="s">
        <v>912</v>
      </c>
      <c r="M77">
        <v>63</v>
      </c>
      <c r="N77">
        <v>1</v>
      </c>
      <c r="O77" t="s">
        <v>920</v>
      </c>
    </row>
    <row r="78" spans="1:15" x14ac:dyDescent="0.3">
      <c r="A78">
        <v>1050</v>
      </c>
      <c r="B78" t="s">
        <v>136</v>
      </c>
      <c r="C78">
        <v>19</v>
      </c>
      <c r="D78" t="s">
        <v>24</v>
      </c>
      <c r="E78" t="s">
        <v>25</v>
      </c>
      <c r="F78" t="s">
        <v>891</v>
      </c>
      <c r="G78">
        <v>5</v>
      </c>
      <c r="H78" t="s">
        <v>908</v>
      </c>
      <c r="I78" s="4">
        <v>45450</v>
      </c>
      <c r="J78" s="4">
        <v>45387</v>
      </c>
      <c r="K78" t="s">
        <v>40</v>
      </c>
      <c r="L78" t="s">
        <v>913</v>
      </c>
      <c r="M78">
        <v>63</v>
      </c>
      <c r="N78">
        <v>1</v>
      </c>
      <c r="O78" t="s">
        <v>920</v>
      </c>
    </row>
    <row r="79" spans="1:15" x14ac:dyDescent="0.3">
      <c r="A79">
        <v>1334</v>
      </c>
      <c r="B79" t="s">
        <v>107</v>
      </c>
      <c r="C79">
        <v>22</v>
      </c>
      <c r="D79" t="s">
        <v>659</v>
      </c>
      <c r="E79" t="s">
        <v>167</v>
      </c>
      <c r="F79" t="s">
        <v>682</v>
      </c>
      <c r="G79">
        <v>4</v>
      </c>
      <c r="H79" t="s">
        <v>28</v>
      </c>
      <c r="I79" s="4">
        <v>45328</v>
      </c>
      <c r="J79" s="4">
        <v>45390</v>
      </c>
      <c r="K79" t="s">
        <v>914</v>
      </c>
      <c r="L79" t="s">
        <v>909</v>
      </c>
      <c r="M79">
        <v>62</v>
      </c>
      <c r="N79">
        <v>0</v>
      </c>
      <c r="O79" t="s">
        <v>920</v>
      </c>
    </row>
    <row r="80" spans="1:15" x14ac:dyDescent="0.3">
      <c r="A80">
        <v>1180</v>
      </c>
      <c r="B80" t="s">
        <v>74</v>
      </c>
      <c r="C80">
        <v>25</v>
      </c>
      <c r="D80" t="s">
        <v>24</v>
      </c>
      <c r="E80" t="s">
        <v>167</v>
      </c>
      <c r="F80" t="s">
        <v>704</v>
      </c>
      <c r="G80">
        <v>5</v>
      </c>
      <c r="H80" t="s">
        <v>908</v>
      </c>
      <c r="I80" s="4">
        <v>45429</v>
      </c>
      <c r="J80" s="4">
        <v>45367</v>
      </c>
      <c r="K80" t="s">
        <v>914</v>
      </c>
      <c r="L80" t="s">
        <v>911</v>
      </c>
      <c r="M80">
        <v>62</v>
      </c>
      <c r="N80">
        <v>0</v>
      </c>
      <c r="O80" t="s">
        <v>920</v>
      </c>
    </row>
    <row r="81" spans="1:15" x14ac:dyDescent="0.3">
      <c r="A81">
        <v>1491</v>
      </c>
      <c r="B81" t="s">
        <v>22</v>
      </c>
      <c r="C81">
        <v>21</v>
      </c>
      <c r="D81" t="s">
        <v>659</v>
      </c>
      <c r="E81" t="s">
        <v>25</v>
      </c>
      <c r="F81" t="s">
        <v>728</v>
      </c>
      <c r="G81">
        <v>4</v>
      </c>
      <c r="H81" t="s">
        <v>28</v>
      </c>
      <c r="I81" s="4">
        <v>45414</v>
      </c>
      <c r="J81" s="4">
        <v>45353</v>
      </c>
      <c r="K81" t="s">
        <v>40</v>
      </c>
      <c r="L81" t="s">
        <v>909</v>
      </c>
      <c r="M81">
        <v>61</v>
      </c>
      <c r="N81">
        <v>1</v>
      </c>
      <c r="O81" t="s">
        <v>920</v>
      </c>
    </row>
    <row r="82" spans="1:15" x14ac:dyDescent="0.3">
      <c r="A82">
        <v>1111</v>
      </c>
      <c r="B82" t="s">
        <v>74</v>
      </c>
      <c r="C82">
        <v>21</v>
      </c>
      <c r="D82" t="s">
        <v>24</v>
      </c>
      <c r="E82" t="s">
        <v>25</v>
      </c>
      <c r="F82" t="s">
        <v>679</v>
      </c>
      <c r="G82">
        <v>2</v>
      </c>
      <c r="H82" t="s">
        <v>17</v>
      </c>
      <c r="I82" s="4">
        <v>45303</v>
      </c>
      <c r="J82" s="4">
        <v>45363</v>
      </c>
      <c r="K82" t="s">
        <v>20</v>
      </c>
      <c r="L82" t="s">
        <v>909</v>
      </c>
      <c r="M82">
        <v>60</v>
      </c>
      <c r="N82">
        <v>0</v>
      </c>
      <c r="O82" t="s">
        <v>920</v>
      </c>
    </row>
    <row r="83" spans="1:15" x14ac:dyDescent="0.3">
      <c r="A83">
        <v>1060</v>
      </c>
      <c r="B83" t="s">
        <v>12</v>
      </c>
      <c r="C83">
        <v>19</v>
      </c>
      <c r="D83" t="s">
        <v>24</v>
      </c>
      <c r="E83" t="s">
        <v>167</v>
      </c>
      <c r="F83" t="s">
        <v>827</v>
      </c>
      <c r="G83">
        <v>1</v>
      </c>
      <c r="H83" t="s">
        <v>908</v>
      </c>
      <c r="I83" s="4">
        <v>45307</v>
      </c>
      <c r="J83" s="4">
        <v>45367</v>
      </c>
      <c r="K83" t="s">
        <v>40</v>
      </c>
      <c r="L83" t="s">
        <v>910</v>
      </c>
      <c r="M83">
        <v>60</v>
      </c>
      <c r="N83">
        <v>1</v>
      </c>
      <c r="O83" t="s">
        <v>920</v>
      </c>
    </row>
    <row r="84" spans="1:15" x14ac:dyDescent="0.3">
      <c r="A84">
        <v>1067</v>
      </c>
      <c r="B84" t="s">
        <v>163</v>
      </c>
      <c r="C84">
        <v>21</v>
      </c>
      <c r="D84" t="s">
        <v>55</v>
      </c>
      <c r="E84" t="s">
        <v>84</v>
      </c>
      <c r="F84" t="s">
        <v>771</v>
      </c>
      <c r="G84">
        <v>5</v>
      </c>
      <c r="H84" t="s">
        <v>28</v>
      </c>
      <c r="I84" s="4">
        <v>45323</v>
      </c>
      <c r="J84" s="4">
        <v>45379</v>
      </c>
      <c r="K84" t="s">
        <v>20</v>
      </c>
      <c r="L84" t="s">
        <v>913</v>
      </c>
      <c r="M84">
        <v>56</v>
      </c>
      <c r="N84">
        <v>0</v>
      </c>
      <c r="O84" t="s">
        <v>920</v>
      </c>
    </row>
    <row r="85" spans="1:15" x14ac:dyDescent="0.3">
      <c r="A85">
        <v>1419</v>
      </c>
      <c r="B85" t="s">
        <v>117</v>
      </c>
      <c r="C85">
        <v>21</v>
      </c>
      <c r="D85" t="s">
        <v>55</v>
      </c>
      <c r="E85" t="s">
        <v>84</v>
      </c>
      <c r="F85" t="s">
        <v>818</v>
      </c>
      <c r="G85">
        <v>2</v>
      </c>
      <c r="H85" t="s">
        <v>17</v>
      </c>
      <c r="I85" s="4">
        <v>45457</v>
      </c>
      <c r="J85" s="4">
        <v>45401</v>
      </c>
      <c r="K85" t="s">
        <v>20</v>
      </c>
      <c r="L85" t="s">
        <v>913</v>
      </c>
      <c r="M85">
        <v>56</v>
      </c>
      <c r="N85">
        <v>0</v>
      </c>
      <c r="O85" t="s">
        <v>920</v>
      </c>
    </row>
    <row r="86" spans="1:15" x14ac:dyDescent="0.3">
      <c r="A86">
        <v>1490</v>
      </c>
      <c r="B86" t="s">
        <v>120</v>
      </c>
      <c r="C86">
        <v>24</v>
      </c>
      <c r="D86" t="s">
        <v>55</v>
      </c>
      <c r="E86" t="s">
        <v>84</v>
      </c>
      <c r="F86" t="s">
        <v>869</v>
      </c>
      <c r="G86">
        <v>4</v>
      </c>
      <c r="H86" t="s">
        <v>28</v>
      </c>
      <c r="I86" s="4">
        <v>45438</v>
      </c>
      <c r="J86" s="4">
        <v>45383</v>
      </c>
      <c r="K86" t="s">
        <v>40</v>
      </c>
      <c r="L86" t="s">
        <v>913</v>
      </c>
      <c r="M86">
        <v>55</v>
      </c>
      <c r="N86">
        <v>1</v>
      </c>
      <c r="O86" t="s">
        <v>920</v>
      </c>
    </row>
    <row r="87" spans="1:15" x14ac:dyDescent="0.3">
      <c r="A87">
        <v>1097</v>
      </c>
      <c r="B87" t="s">
        <v>22</v>
      </c>
      <c r="C87">
        <v>18</v>
      </c>
      <c r="D87" t="s">
        <v>55</v>
      </c>
      <c r="E87" t="s">
        <v>84</v>
      </c>
      <c r="F87" t="s">
        <v>890</v>
      </c>
      <c r="G87">
        <v>4</v>
      </c>
      <c r="H87" t="s">
        <v>908</v>
      </c>
      <c r="I87" s="4">
        <v>45462</v>
      </c>
      <c r="J87" s="4">
        <v>45407</v>
      </c>
      <c r="K87" t="s">
        <v>40</v>
      </c>
      <c r="L87" t="s">
        <v>912</v>
      </c>
      <c r="M87">
        <v>55</v>
      </c>
      <c r="N87">
        <v>1</v>
      </c>
      <c r="O87" t="s">
        <v>920</v>
      </c>
    </row>
    <row r="88" spans="1:15" x14ac:dyDescent="0.3">
      <c r="A88">
        <v>1447</v>
      </c>
      <c r="B88" t="s">
        <v>22</v>
      </c>
      <c r="C88">
        <v>22</v>
      </c>
      <c r="D88" t="s">
        <v>24</v>
      </c>
      <c r="E88" t="s">
        <v>25</v>
      </c>
      <c r="F88" t="s">
        <v>853</v>
      </c>
      <c r="G88">
        <v>5</v>
      </c>
      <c r="H88" t="s">
        <v>908</v>
      </c>
      <c r="I88" s="4">
        <v>45378</v>
      </c>
      <c r="J88" s="4">
        <v>45326</v>
      </c>
      <c r="K88" t="s">
        <v>69</v>
      </c>
      <c r="L88" t="s">
        <v>911</v>
      </c>
      <c r="M88">
        <v>52</v>
      </c>
      <c r="N88">
        <v>0</v>
      </c>
      <c r="O88" t="s">
        <v>920</v>
      </c>
    </row>
    <row r="89" spans="1:15" x14ac:dyDescent="0.3">
      <c r="A89">
        <v>1455</v>
      </c>
      <c r="B89" t="s">
        <v>74</v>
      </c>
      <c r="C89">
        <v>25</v>
      </c>
      <c r="D89" t="s">
        <v>55</v>
      </c>
      <c r="E89" t="s">
        <v>156</v>
      </c>
      <c r="F89" t="s">
        <v>746</v>
      </c>
      <c r="G89">
        <v>1</v>
      </c>
      <c r="H89" t="s">
        <v>28</v>
      </c>
      <c r="I89" s="4">
        <v>45399</v>
      </c>
      <c r="J89" s="4">
        <v>45348</v>
      </c>
      <c r="K89" t="s">
        <v>20</v>
      </c>
      <c r="L89" t="s">
        <v>909</v>
      </c>
      <c r="M89">
        <v>51</v>
      </c>
      <c r="N89">
        <v>0</v>
      </c>
      <c r="O89" t="s">
        <v>920</v>
      </c>
    </row>
    <row r="90" spans="1:15" x14ac:dyDescent="0.3">
      <c r="A90">
        <v>1149</v>
      </c>
      <c r="B90" t="s">
        <v>136</v>
      </c>
      <c r="C90">
        <v>22</v>
      </c>
      <c r="D90" t="s">
        <v>55</v>
      </c>
      <c r="E90" t="s">
        <v>25</v>
      </c>
      <c r="F90" t="s">
        <v>773</v>
      </c>
      <c r="G90">
        <v>5</v>
      </c>
      <c r="H90" t="s">
        <v>17</v>
      </c>
      <c r="I90" s="4">
        <v>45386</v>
      </c>
      <c r="J90" s="4">
        <v>45337</v>
      </c>
      <c r="K90" t="s">
        <v>69</v>
      </c>
      <c r="L90" t="s">
        <v>910</v>
      </c>
      <c r="M90">
        <v>49</v>
      </c>
      <c r="N90">
        <v>0</v>
      </c>
      <c r="O90" t="s">
        <v>920</v>
      </c>
    </row>
    <row r="91" spans="1:15" x14ac:dyDescent="0.3">
      <c r="A91">
        <v>1040</v>
      </c>
      <c r="B91" t="s">
        <v>120</v>
      </c>
      <c r="C91">
        <v>21</v>
      </c>
      <c r="D91" t="s">
        <v>55</v>
      </c>
      <c r="E91" t="s">
        <v>84</v>
      </c>
      <c r="F91" t="s">
        <v>863</v>
      </c>
      <c r="G91">
        <v>4</v>
      </c>
      <c r="H91" t="s">
        <v>28</v>
      </c>
      <c r="I91" s="4">
        <v>45404</v>
      </c>
      <c r="J91" s="4">
        <v>45355</v>
      </c>
      <c r="K91" t="s">
        <v>40</v>
      </c>
      <c r="L91" t="s">
        <v>913</v>
      </c>
      <c r="M91">
        <v>49</v>
      </c>
      <c r="N91">
        <v>1</v>
      </c>
      <c r="O91" t="s">
        <v>920</v>
      </c>
    </row>
    <row r="92" spans="1:15" x14ac:dyDescent="0.3">
      <c r="A92">
        <v>1133</v>
      </c>
      <c r="B92" t="s">
        <v>12</v>
      </c>
      <c r="C92">
        <v>19</v>
      </c>
      <c r="D92" t="s">
        <v>55</v>
      </c>
      <c r="E92" t="s">
        <v>156</v>
      </c>
      <c r="F92" t="s">
        <v>806</v>
      </c>
      <c r="G92">
        <v>1</v>
      </c>
      <c r="H92" t="s">
        <v>17</v>
      </c>
      <c r="I92" s="4">
        <v>45365</v>
      </c>
      <c r="J92" s="4">
        <v>45317</v>
      </c>
      <c r="K92" t="s">
        <v>914</v>
      </c>
      <c r="L92" t="s">
        <v>909</v>
      </c>
      <c r="M92">
        <v>48</v>
      </c>
      <c r="N92">
        <v>0</v>
      </c>
      <c r="O92" t="s">
        <v>920</v>
      </c>
    </row>
    <row r="93" spans="1:15" x14ac:dyDescent="0.3">
      <c r="A93">
        <v>1250</v>
      </c>
      <c r="B93" t="s">
        <v>47</v>
      </c>
      <c r="C93">
        <v>21</v>
      </c>
      <c r="D93" t="s">
        <v>24</v>
      </c>
      <c r="E93" t="s">
        <v>25</v>
      </c>
      <c r="F93" t="s">
        <v>852</v>
      </c>
      <c r="G93">
        <v>3</v>
      </c>
      <c r="H93" t="s">
        <v>17</v>
      </c>
      <c r="I93" s="4">
        <v>45312</v>
      </c>
      <c r="J93" s="4">
        <v>45357</v>
      </c>
      <c r="K93" t="s">
        <v>69</v>
      </c>
      <c r="L93" t="s">
        <v>910</v>
      </c>
      <c r="M93">
        <v>45</v>
      </c>
      <c r="N93">
        <v>0</v>
      </c>
      <c r="O93" t="s">
        <v>920</v>
      </c>
    </row>
    <row r="94" spans="1:15" x14ac:dyDescent="0.3">
      <c r="A94">
        <v>1183</v>
      </c>
      <c r="B94" t="s">
        <v>163</v>
      </c>
      <c r="C94">
        <v>21</v>
      </c>
      <c r="D94" t="s">
        <v>659</v>
      </c>
      <c r="E94" t="s">
        <v>84</v>
      </c>
      <c r="F94" t="s">
        <v>751</v>
      </c>
      <c r="G94">
        <v>5</v>
      </c>
      <c r="H94" t="s">
        <v>28</v>
      </c>
      <c r="I94" s="4">
        <v>45405</v>
      </c>
      <c r="J94" s="4">
        <v>45361</v>
      </c>
      <c r="K94" t="s">
        <v>20</v>
      </c>
      <c r="L94" t="s">
        <v>912</v>
      </c>
      <c r="M94">
        <v>44</v>
      </c>
      <c r="N94">
        <v>0</v>
      </c>
      <c r="O94" t="s">
        <v>920</v>
      </c>
    </row>
    <row r="95" spans="1:15" x14ac:dyDescent="0.3">
      <c r="A95">
        <v>1438</v>
      </c>
      <c r="B95" t="s">
        <v>12</v>
      </c>
      <c r="C95">
        <v>19</v>
      </c>
      <c r="D95" t="s">
        <v>659</v>
      </c>
      <c r="E95" t="s">
        <v>84</v>
      </c>
      <c r="F95" t="s">
        <v>902</v>
      </c>
      <c r="G95">
        <v>3</v>
      </c>
      <c r="H95" t="s">
        <v>17</v>
      </c>
      <c r="I95" s="4">
        <v>45465</v>
      </c>
      <c r="J95" s="4">
        <v>45509</v>
      </c>
      <c r="K95" t="s">
        <v>40</v>
      </c>
      <c r="L95" t="s">
        <v>910</v>
      </c>
      <c r="M95">
        <v>44</v>
      </c>
      <c r="N95">
        <v>1</v>
      </c>
      <c r="O95" t="s">
        <v>920</v>
      </c>
    </row>
    <row r="96" spans="1:15" x14ac:dyDescent="0.3">
      <c r="A96">
        <v>1018</v>
      </c>
      <c r="B96" t="s">
        <v>107</v>
      </c>
      <c r="C96">
        <v>21</v>
      </c>
      <c r="D96" t="s">
        <v>659</v>
      </c>
      <c r="E96" t="s">
        <v>25</v>
      </c>
      <c r="F96" t="s">
        <v>758</v>
      </c>
      <c r="G96">
        <v>5</v>
      </c>
      <c r="H96" t="s">
        <v>28</v>
      </c>
      <c r="I96" s="4">
        <v>45431</v>
      </c>
      <c r="J96" s="4">
        <v>45388</v>
      </c>
      <c r="K96" t="s">
        <v>40</v>
      </c>
      <c r="L96" t="s">
        <v>909</v>
      </c>
      <c r="M96">
        <v>43</v>
      </c>
      <c r="N96">
        <v>1</v>
      </c>
      <c r="O96" t="s">
        <v>920</v>
      </c>
    </row>
    <row r="97" spans="1:15" x14ac:dyDescent="0.3">
      <c r="A97">
        <v>1001</v>
      </c>
      <c r="B97" t="s">
        <v>74</v>
      </c>
      <c r="C97">
        <v>25</v>
      </c>
      <c r="D97" t="s">
        <v>659</v>
      </c>
      <c r="E97" t="s">
        <v>167</v>
      </c>
      <c r="F97" t="s">
        <v>760</v>
      </c>
      <c r="G97">
        <v>4</v>
      </c>
      <c r="H97" t="s">
        <v>28</v>
      </c>
      <c r="I97" s="4">
        <v>45354</v>
      </c>
      <c r="J97" s="4">
        <v>45397</v>
      </c>
      <c r="K97" t="s">
        <v>40</v>
      </c>
      <c r="L97" t="s">
        <v>912</v>
      </c>
      <c r="M97">
        <v>43</v>
      </c>
      <c r="N97">
        <v>1</v>
      </c>
      <c r="O97" t="s">
        <v>920</v>
      </c>
    </row>
    <row r="98" spans="1:15" x14ac:dyDescent="0.3">
      <c r="A98">
        <v>1473</v>
      </c>
      <c r="B98" t="s">
        <v>163</v>
      </c>
      <c r="C98">
        <v>19</v>
      </c>
      <c r="D98" t="s">
        <v>659</v>
      </c>
      <c r="E98" t="s">
        <v>84</v>
      </c>
      <c r="F98" t="s">
        <v>774</v>
      </c>
      <c r="G98">
        <v>0</v>
      </c>
      <c r="H98" t="s">
        <v>908</v>
      </c>
      <c r="I98" s="4">
        <v>45392</v>
      </c>
      <c r="J98" s="4">
        <v>45349</v>
      </c>
      <c r="K98" t="s">
        <v>914</v>
      </c>
      <c r="L98" t="s">
        <v>909</v>
      </c>
      <c r="M98">
        <v>43</v>
      </c>
      <c r="N98">
        <v>0</v>
      </c>
      <c r="O98" t="s">
        <v>920</v>
      </c>
    </row>
    <row r="99" spans="1:15" x14ac:dyDescent="0.3">
      <c r="A99">
        <v>1472</v>
      </c>
      <c r="B99" t="s">
        <v>22</v>
      </c>
      <c r="C99">
        <v>22</v>
      </c>
      <c r="D99" t="s">
        <v>659</v>
      </c>
      <c r="E99" t="s">
        <v>84</v>
      </c>
      <c r="F99" t="s">
        <v>850</v>
      </c>
      <c r="G99">
        <v>4</v>
      </c>
      <c r="H99" t="s">
        <v>908</v>
      </c>
      <c r="I99" s="4">
        <v>45324</v>
      </c>
      <c r="J99" s="4">
        <v>45366</v>
      </c>
      <c r="K99" t="s">
        <v>20</v>
      </c>
      <c r="L99" t="s">
        <v>912</v>
      </c>
      <c r="M99">
        <v>42</v>
      </c>
      <c r="N99">
        <v>0</v>
      </c>
      <c r="O99" t="s">
        <v>920</v>
      </c>
    </row>
    <row r="100" spans="1:15" x14ac:dyDescent="0.3">
      <c r="A100">
        <v>1224</v>
      </c>
      <c r="B100" t="s">
        <v>74</v>
      </c>
      <c r="C100">
        <v>21</v>
      </c>
      <c r="D100" t="s">
        <v>55</v>
      </c>
      <c r="E100" t="s">
        <v>25</v>
      </c>
      <c r="F100" t="s">
        <v>678</v>
      </c>
      <c r="G100">
        <v>1</v>
      </c>
      <c r="H100" t="s">
        <v>908</v>
      </c>
      <c r="I100" s="4">
        <v>45406</v>
      </c>
      <c r="J100" s="4">
        <v>45447</v>
      </c>
      <c r="K100" t="s">
        <v>914</v>
      </c>
      <c r="L100" t="s">
        <v>910</v>
      </c>
      <c r="M100">
        <v>41</v>
      </c>
      <c r="N100">
        <v>0</v>
      </c>
      <c r="O100" t="s">
        <v>920</v>
      </c>
    </row>
    <row r="101" spans="1:15" x14ac:dyDescent="0.3">
      <c r="A101">
        <v>1039</v>
      </c>
      <c r="B101" t="s">
        <v>12</v>
      </c>
      <c r="C101">
        <v>19</v>
      </c>
      <c r="D101" t="s">
        <v>659</v>
      </c>
      <c r="E101" t="s">
        <v>25</v>
      </c>
      <c r="F101" t="s">
        <v>693</v>
      </c>
      <c r="G101">
        <v>4</v>
      </c>
      <c r="H101" t="s">
        <v>908</v>
      </c>
      <c r="I101" s="4">
        <v>45440</v>
      </c>
      <c r="J101" s="4">
        <v>45400</v>
      </c>
      <c r="K101" t="s">
        <v>69</v>
      </c>
      <c r="L101" t="s">
        <v>912</v>
      </c>
      <c r="M101">
        <v>40</v>
      </c>
      <c r="N101">
        <v>0</v>
      </c>
      <c r="O101" t="s">
        <v>920</v>
      </c>
    </row>
    <row r="102" spans="1:15" x14ac:dyDescent="0.3">
      <c r="A102">
        <v>1198</v>
      </c>
      <c r="B102" t="s">
        <v>117</v>
      </c>
      <c r="C102">
        <v>22</v>
      </c>
      <c r="D102" t="s">
        <v>55</v>
      </c>
      <c r="E102" t="s">
        <v>156</v>
      </c>
      <c r="F102" t="s">
        <v>862</v>
      </c>
      <c r="G102">
        <v>1</v>
      </c>
      <c r="H102" t="s">
        <v>908</v>
      </c>
      <c r="I102" s="4">
        <v>45344</v>
      </c>
      <c r="J102" s="4">
        <v>45383</v>
      </c>
      <c r="K102" t="s">
        <v>20</v>
      </c>
      <c r="L102" t="s">
        <v>910</v>
      </c>
      <c r="M102">
        <v>39</v>
      </c>
      <c r="N102">
        <v>0</v>
      </c>
      <c r="O102" t="s">
        <v>920</v>
      </c>
    </row>
    <row r="103" spans="1:15" x14ac:dyDescent="0.3">
      <c r="A103">
        <v>1106</v>
      </c>
      <c r="B103" t="s">
        <v>47</v>
      </c>
      <c r="C103">
        <v>21</v>
      </c>
      <c r="D103" t="s">
        <v>24</v>
      </c>
      <c r="E103" t="s">
        <v>84</v>
      </c>
      <c r="F103" t="s">
        <v>716</v>
      </c>
      <c r="G103">
        <v>5</v>
      </c>
      <c r="H103" t="s">
        <v>908</v>
      </c>
      <c r="I103" s="4">
        <v>45386</v>
      </c>
      <c r="J103" s="4">
        <v>45348</v>
      </c>
      <c r="K103" t="s">
        <v>20</v>
      </c>
      <c r="L103" t="s">
        <v>910</v>
      </c>
      <c r="M103">
        <v>38</v>
      </c>
      <c r="N103">
        <v>0</v>
      </c>
      <c r="O103" t="s">
        <v>920</v>
      </c>
    </row>
    <row r="104" spans="1:15" x14ac:dyDescent="0.3">
      <c r="A104">
        <v>1390</v>
      </c>
      <c r="B104" t="s">
        <v>47</v>
      </c>
      <c r="C104">
        <v>25</v>
      </c>
      <c r="D104" t="s">
        <v>24</v>
      </c>
      <c r="E104" t="s">
        <v>84</v>
      </c>
      <c r="F104" t="s">
        <v>739</v>
      </c>
      <c r="G104">
        <v>5</v>
      </c>
      <c r="H104" t="s">
        <v>908</v>
      </c>
      <c r="I104" s="4">
        <v>45357</v>
      </c>
      <c r="J104" s="4">
        <v>45319</v>
      </c>
      <c r="K104" t="s">
        <v>40</v>
      </c>
      <c r="L104" t="s">
        <v>911</v>
      </c>
      <c r="M104">
        <v>38</v>
      </c>
      <c r="N104">
        <v>1</v>
      </c>
      <c r="O104" t="s">
        <v>920</v>
      </c>
    </row>
    <row r="105" spans="1:15" x14ac:dyDescent="0.3">
      <c r="A105">
        <v>1103</v>
      </c>
      <c r="B105" t="s">
        <v>117</v>
      </c>
      <c r="C105">
        <v>23</v>
      </c>
      <c r="D105" t="s">
        <v>24</v>
      </c>
      <c r="E105" t="s">
        <v>156</v>
      </c>
      <c r="F105" t="s">
        <v>775</v>
      </c>
      <c r="G105">
        <v>5</v>
      </c>
      <c r="H105" t="s">
        <v>76</v>
      </c>
      <c r="I105" s="4">
        <v>45413</v>
      </c>
      <c r="J105" s="4">
        <v>45375</v>
      </c>
      <c r="K105" t="s">
        <v>40</v>
      </c>
      <c r="L105" t="s">
        <v>913</v>
      </c>
      <c r="M105">
        <v>38</v>
      </c>
      <c r="N105">
        <v>1</v>
      </c>
      <c r="O105" t="s">
        <v>920</v>
      </c>
    </row>
    <row r="106" spans="1:15" x14ac:dyDescent="0.3">
      <c r="A106">
        <v>1113</v>
      </c>
      <c r="B106" t="s">
        <v>47</v>
      </c>
      <c r="C106">
        <v>18</v>
      </c>
      <c r="D106" t="s">
        <v>24</v>
      </c>
      <c r="E106" t="s">
        <v>25</v>
      </c>
      <c r="F106" t="s">
        <v>672</v>
      </c>
      <c r="G106">
        <v>1</v>
      </c>
      <c r="H106" t="s">
        <v>908</v>
      </c>
      <c r="I106" s="4">
        <v>45344</v>
      </c>
      <c r="J106" s="4">
        <v>45309</v>
      </c>
      <c r="K106" t="s">
        <v>69</v>
      </c>
      <c r="L106" t="s">
        <v>911</v>
      </c>
      <c r="M106">
        <v>35</v>
      </c>
      <c r="N106">
        <v>0</v>
      </c>
      <c r="O106" t="s">
        <v>920</v>
      </c>
    </row>
    <row r="107" spans="1:15" x14ac:dyDescent="0.3">
      <c r="A107">
        <v>1372</v>
      </c>
      <c r="B107" t="s">
        <v>120</v>
      </c>
      <c r="C107">
        <v>21</v>
      </c>
      <c r="D107" t="s">
        <v>24</v>
      </c>
      <c r="E107" t="s">
        <v>25</v>
      </c>
      <c r="F107" t="s">
        <v>851</v>
      </c>
      <c r="G107">
        <v>2</v>
      </c>
      <c r="H107" t="s">
        <v>908</v>
      </c>
      <c r="I107" s="4">
        <v>45343</v>
      </c>
      <c r="J107" s="4">
        <v>45308</v>
      </c>
      <c r="K107" t="s">
        <v>40</v>
      </c>
      <c r="L107" t="s">
        <v>912</v>
      </c>
      <c r="M107">
        <v>35</v>
      </c>
      <c r="N107">
        <v>1</v>
      </c>
      <c r="O107" t="s">
        <v>920</v>
      </c>
    </row>
    <row r="108" spans="1:15" x14ac:dyDescent="0.3">
      <c r="A108">
        <v>1205</v>
      </c>
      <c r="B108" t="s">
        <v>155</v>
      </c>
      <c r="C108">
        <v>22</v>
      </c>
      <c r="D108" t="s">
        <v>55</v>
      </c>
      <c r="E108" t="s">
        <v>84</v>
      </c>
      <c r="F108" t="s">
        <v>724</v>
      </c>
      <c r="G108">
        <v>5</v>
      </c>
      <c r="H108" t="s">
        <v>17</v>
      </c>
      <c r="I108" s="4">
        <v>45372</v>
      </c>
      <c r="J108" s="4">
        <v>45339</v>
      </c>
      <c r="K108" t="s">
        <v>40</v>
      </c>
      <c r="L108" t="s">
        <v>911</v>
      </c>
      <c r="M108">
        <v>33</v>
      </c>
      <c r="N108">
        <v>1</v>
      </c>
      <c r="O108" t="s">
        <v>920</v>
      </c>
    </row>
    <row r="109" spans="1:15" x14ac:dyDescent="0.3">
      <c r="A109">
        <v>1129</v>
      </c>
      <c r="B109" t="s">
        <v>107</v>
      </c>
      <c r="C109">
        <v>21</v>
      </c>
      <c r="D109" t="s">
        <v>24</v>
      </c>
      <c r="E109" t="s">
        <v>156</v>
      </c>
      <c r="F109" t="s">
        <v>747</v>
      </c>
      <c r="G109">
        <v>1</v>
      </c>
      <c r="H109" t="s">
        <v>76</v>
      </c>
      <c r="I109" s="4">
        <v>45406</v>
      </c>
      <c r="J109" s="4">
        <v>45439</v>
      </c>
      <c r="K109" t="s">
        <v>40</v>
      </c>
      <c r="L109" t="s">
        <v>911</v>
      </c>
      <c r="M109">
        <v>33</v>
      </c>
      <c r="N109">
        <v>1</v>
      </c>
      <c r="O109" t="s">
        <v>920</v>
      </c>
    </row>
    <row r="110" spans="1:15" x14ac:dyDescent="0.3">
      <c r="A110">
        <v>1153</v>
      </c>
      <c r="B110" t="s">
        <v>163</v>
      </c>
      <c r="C110">
        <v>21</v>
      </c>
      <c r="D110" t="s">
        <v>55</v>
      </c>
      <c r="E110" t="s">
        <v>167</v>
      </c>
      <c r="F110" t="s">
        <v>868</v>
      </c>
      <c r="G110">
        <v>1</v>
      </c>
      <c r="H110" t="s">
        <v>17</v>
      </c>
      <c r="I110" s="4">
        <v>45390</v>
      </c>
      <c r="J110" s="4">
        <v>45357</v>
      </c>
      <c r="K110" t="s">
        <v>914</v>
      </c>
      <c r="L110" t="s">
        <v>913</v>
      </c>
      <c r="M110">
        <v>33</v>
      </c>
      <c r="N110">
        <v>0</v>
      </c>
      <c r="O110" t="s">
        <v>920</v>
      </c>
    </row>
    <row r="111" spans="1:15" x14ac:dyDescent="0.3">
      <c r="A111">
        <v>1353</v>
      </c>
      <c r="B111" t="s">
        <v>22</v>
      </c>
      <c r="C111">
        <v>19</v>
      </c>
      <c r="D111" t="s">
        <v>24</v>
      </c>
      <c r="E111" t="s">
        <v>84</v>
      </c>
      <c r="F111" t="s">
        <v>706</v>
      </c>
      <c r="G111">
        <v>3</v>
      </c>
      <c r="H111" t="s">
        <v>17</v>
      </c>
      <c r="I111" s="4">
        <v>45295</v>
      </c>
      <c r="J111" s="4">
        <v>45327</v>
      </c>
      <c r="K111" t="s">
        <v>40</v>
      </c>
      <c r="L111" t="s">
        <v>911</v>
      </c>
      <c r="M111">
        <v>32</v>
      </c>
      <c r="N111">
        <v>1</v>
      </c>
      <c r="O111" t="s">
        <v>920</v>
      </c>
    </row>
    <row r="112" spans="1:15" x14ac:dyDescent="0.3">
      <c r="A112">
        <v>1064</v>
      </c>
      <c r="B112" t="s">
        <v>163</v>
      </c>
      <c r="C112">
        <v>22</v>
      </c>
      <c r="D112" t="s">
        <v>659</v>
      </c>
      <c r="E112" t="s">
        <v>25</v>
      </c>
      <c r="F112" t="s">
        <v>718</v>
      </c>
      <c r="G112">
        <v>3</v>
      </c>
      <c r="H112" t="s">
        <v>76</v>
      </c>
      <c r="I112" s="4">
        <v>45444</v>
      </c>
      <c r="J112" s="4">
        <v>45476</v>
      </c>
      <c r="K112" t="s">
        <v>40</v>
      </c>
      <c r="L112" t="s">
        <v>910</v>
      </c>
      <c r="M112">
        <v>32</v>
      </c>
      <c r="N112">
        <v>1</v>
      </c>
      <c r="O112" t="s">
        <v>920</v>
      </c>
    </row>
    <row r="113" spans="1:15" x14ac:dyDescent="0.3">
      <c r="A113">
        <v>1077</v>
      </c>
      <c r="B113" t="s">
        <v>120</v>
      </c>
      <c r="C113">
        <v>25</v>
      </c>
      <c r="D113" t="s">
        <v>24</v>
      </c>
      <c r="E113" t="s">
        <v>156</v>
      </c>
      <c r="F113" t="s">
        <v>856</v>
      </c>
      <c r="G113">
        <v>3</v>
      </c>
      <c r="H113" t="s">
        <v>28</v>
      </c>
      <c r="I113" s="4">
        <v>45385</v>
      </c>
      <c r="J113" s="4">
        <v>45354</v>
      </c>
      <c r="K113" t="s">
        <v>20</v>
      </c>
      <c r="L113" t="s">
        <v>912</v>
      </c>
      <c r="M113">
        <v>31</v>
      </c>
      <c r="N113">
        <v>0</v>
      </c>
      <c r="O113" t="s">
        <v>920</v>
      </c>
    </row>
    <row r="114" spans="1:15" x14ac:dyDescent="0.3">
      <c r="A114">
        <v>1008</v>
      </c>
      <c r="B114" t="s">
        <v>12</v>
      </c>
      <c r="C114">
        <v>21</v>
      </c>
      <c r="D114" t="s">
        <v>24</v>
      </c>
      <c r="E114" t="s">
        <v>156</v>
      </c>
      <c r="F114" t="s">
        <v>857</v>
      </c>
      <c r="G114">
        <v>2</v>
      </c>
      <c r="H114" t="s">
        <v>28</v>
      </c>
      <c r="I114" s="4">
        <v>45398</v>
      </c>
      <c r="J114" s="4">
        <v>45429</v>
      </c>
      <c r="K114" t="s">
        <v>40</v>
      </c>
      <c r="L114" t="s">
        <v>913</v>
      </c>
      <c r="M114">
        <v>31</v>
      </c>
      <c r="N114">
        <v>1</v>
      </c>
      <c r="O114" t="s">
        <v>920</v>
      </c>
    </row>
    <row r="115" spans="1:15" x14ac:dyDescent="0.3">
      <c r="A115">
        <v>1230</v>
      </c>
      <c r="B115" t="s">
        <v>12</v>
      </c>
      <c r="C115">
        <v>21</v>
      </c>
      <c r="D115" t="s">
        <v>55</v>
      </c>
      <c r="E115" t="s">
        <v>25</v>
      </c>
      <c r="F115" t="s">
        <v>663</v>
      </c>
      <c r="G115">
        <v>5</v>
      </c>
      <c r="H115" t="s">
        <v>17</v>
      </c>
      <c r="I115" s="4">
        <v>45370</v>
      </c>
      <c r="J115" s="4">
        <v>45399</v>
      </c>
      <c r="K115" t="s">
        <v>40</v>
      </c>
      <c r="L115" t="s">
        <v>911</v>
      </c>
      <c r="M115">
        <v>29</v>
      </c>
      <c r="N115">
        <v>1</v>
      </c>
      <c r="O115" t="s">
        <v>920</v>
      </c>
    </row>
    <row r="116" spans="1:15" x14ac:dyDescent="0.3">
      <c r="A116">
        <v>1259</v>
      </c>
      <c r="B116" t="s">
        <v>47</v>
      </c>
      <c r="C116">
        <v>23</v>
      </c>
      <c r="D116" t="s">
        <v>55</v>
      </c>
      <c r="E116" t="s">
        <v>25</v>
      </c>
      <c r="F116" t="s">
        <v>780</v>
      </c>
      <c r="G116">
        <v>1</v>
      </c>
      <c r="H116" t="s">
        <v>908</v>
      </c>
      <c r="I116" s="4">
        <v>45325</v>
      </c>
      <c r="J116" s="4">
        <v>45296</v>
      </c>
      <c r="K116" t="s">
        <v>20</v>
      </c>
      <c r="L116" t="s">
        <v>909</v>
      </c>
      <c r="M116">
        <v>29</v>
      </c>
      <c r="N116">
        <v>0</v>
      </c>
      <c r="O116" t="s">
        <v>920</v>
      </c>
    </row>
    <row r="117" spans="1:15" x14ac:dyDescent="0.3">
      <c r="A117">
        <v>1208</v>
      </c>
      <c r="B117" t="s">
        <v>47</v>
      </c>
      <c r="C117">
        <v>25</v>
      </c>
      <c r="D117" t="s">
        <v>659</v>
      </c>
      <c r="E117" t="s">
        <v>84</v>
      </c>
      <c r="F117" t="s">
        <v>738</v>
      </c>
      <c r="G117">
        <v>1</v>
      </c>
      <c r="H117" t="s">
        <v>28</v>
      </c>
      <c r="I117" s="4">
        <v>45342</v>
      </c>
      <c r="J117" s="4">
        <v>45369</v>
      </c>
      <c r="K117" t="s">
        <v>40</v>
      </c>
      <c r="L117" t="s">
        <v>913</v>
      </c>
      <c r="M117">
        <v>27</v>
      </c>
      <c r="N117">
        <v>1</v>
      </c>
      <c r="O117" t="s">
        <v>920</v>
      </c>
    </row>
    <row r="118" spans="1:15" x14ac:dyDescent="0.3">
      <c r="A118">
        <v>1056</v>
      </c>
      <c r="B118" t="s">
        <v>12</v>
      </c>
      <c r="C118">
        <v>22</v>
      </c>
      <c r="D118" t="s">
        <v>24</v>
      </c>
      <c r="E118" t="s">
        <v>25</v>
      </c>
      <c r="F118" t="s">
        <v>766</v>
      </c>
      <c r="G118">
        <v>5</v>
      </c>
      <c r="H118" t="s">
        <v>908</v>
      </c>
      <c r="I118" s="4">
        <v>45571</v>
      </c>
      <c r="J118" s="4">
        <v>45598</v>
      </c>
      <c r="K118" t="s">
        <v>40</v>
      </c>
      <c r="L118" t="s">
        <v>913</v>
      </c>
      <c r="M118">
        <v>27</v>
      </c>
      <c r="N118">
        <v>1</v>
      </c>
      <c r="O118" t="s">
        <v>920</v>
      </c>
    </row>
    <row r="119" spans="1:15" x14ac:dyDescent="0.3">
      <c r="A119">
        <v>1451</v>
      </c>
      <c r="B119" t="s">
        <v>22</v>
      </c>
      <c r="C119">
        <v>25</v>
      </c>
      <c r="D119" t="s">
        <v>659</v>
      </c>
      <c r="E119" t="s">
        <v>156</v>
      </c>
      <c r="F119" t="s">
        <v>690</v>
      </c>
      <c r="G119">
        <v>4</v>
      </c>
      <c r="H119" t="s">
        <v>28</v>
      </c>
      <c r="I119" s="4">
        <v>45427</v>
      </c>
      <c r="J119" s="4">
        <v>45401</v>
      </c>
      <c r="K119" t="s">
        <v>40</v>
      </c>
      <c r="L119" t="s">
        <v>912</v>
      </c>
      <c r="M119">
        <v>26</v>
      </c>
      <c r="N119">
        <v>1</v>
      </c>
      <c r="O119" t="s">
        <v>920</v>
      </c>
    </row>
    <row r="120" spans="1:15" x14ac:dyDescent="0.3">
      <c r="A120">
        <v>1116</v>
      </c>
      <c r="B120" t="s">
        <v>12</v>
      </c>
      <c r="C120">
        <v>22</v>
      </c>
      <c r="D120" t="s">
        <v>55</v>
      </c>
      <c r="E120" t="s">
        <v>25</v>
      </c>
      <c r="F120" t="s">
        <v>800</v>
      </c>
      <c r="G120">
        <v>5</v>
      </c>
      <c r="H120" t="s">
        <v>17</v>
      </c>
      <c r="I120" s="4">
        <v>45433</v>
      </c>
      <c r="J120" s="4">
        <v>45407</v>
      </c>
      <c r="K120" t="s">
        <v>914</v>
      </c>
      <c r="L120" t="s">
        <v>911</v>
      </c>
      <c r="M120">
        <v>26</v>
      </c>
      <c r="N120">
        <v>0</v>
      </c>
      <c r="O120" t="s">
        <v>920</v>
      </c>
    </row>
    <row r="121" spans="1:15" x14ac:dyDescent="0.3">
      <c r="A121">
        <v>1418</v>
      </c>
      <c r="B121" t="s">
        <v>117</v>
      </c>
      <c r="C121">
        <v>19</v>
      </c>
      <c r="D121" t="s">
        <v>55</v>
      </c>
      <c r="E121" t="s">
        <v>84</v>
      </c>
      <c r="F121" t="s">
        <v>720</v>
      </c>
      <c r="G121">
        <v>5</v>
      </c>
      <c r="H121" t="s">
        <v>28</v>
      </c>
      <c r="I121" s="4">
        <v>45427</v>
      </c>
      <c r="J121" s="4">
        <v>45402</v>
      </c>
      <c r="K121" t="s">
        <v>20</v>
      </c>
      <c r="L121" t="s">
        <v>909</v>
      </c>
      <c r="M121">
        <v>25</v>
      </c>
      <c r="N121">
        <v>0</v>
      </c>
      <c r="O121" t="s">
        <v>920</v>
      </c>
    </row>
    <row r="122" spans="1:15" x14ac:dyDescent="0.3">
      <c r="A122">
        <v>1051</v>
      </c>
      <c r="B122" t="s">
        <v>163</v>
      </c>
      <c r="C122">
        <v>19</v>
      </c>
      <c r="D122" t="s">
        <v>24</v>
      </c>
      <c r="E122" t="s">
        <v>84</v>
      </c>
      <c r="F122" t="s">
        <v>761</v>
      </c>
      <c r="G122">
        <v>1</v>
      </c>
      <c r="H122" t="s">
        <v>17</v>
      </c>
      <c r="I122" s="4">
        <v>45350</v>
      </c>
      <c r="J122" s="4">
        <v>45325</v>
      </c>
      <c r="K122" t="s">
        <v>40</v>
      </c>
      <c r="L122" t="s">
        <v>911</v>
      </c>
      <c r="M122">
        <v>25</v>
      </c>
      <c r="N122">
        <v>1</v>
      </c>
      <c r="O122" t="s">
        <v>920</v>
      </c>
    </row>
    <row r="123" spans="1:15" x14ac:dyDescent="0.3">
      <c r="A123">
        <v>1359</v>
      </c>
      <c r="B123" t="s">
        <v>107</v>
      </c>
      <c r="C123">
        <v>19</v>
      </c>
      <c r="D123" t="s">
        <v>24</v>
      </c>
      <c r="E123" t="s">
        <v>25</v>
      </c>
      <c r="F123" t="s">
        <v>743</v>
      </c>
      <c r="G123">
        <v>3</v>
      </c>
      <c r="H123" t="s">
        <v>28</v>
      </c>
      <c r="I123" s="4">
        <v>45362</v>
      </c>
      <c r="J123" s="4">
        <v>45341</v>
      </c>
      <c r="K123" t="s">
        <v>20</v>
      </c>
      <c r="L123" t="s">
        <v>909</v>
      </c>
      <c r="M123">
        <v>21</v>
      </c>
      <c r="N123">
        <v>0</v>
      </c>
      <c r="O123" t="s">
        <v>920</v>
      </c>
    </row>
    <row r="124" spans="1:15" x14ac:dyDescent="0.3">
      <c r="A124">
        <v>1243</v>
      </c>
      <c r="B124" t="s">
        <v>163</v>
      </c>
      <c r="C124">
        <v>19</v>
      </c>
      <c r="D124" t="s">
        <v>24</v>
      </c>
      <c r="E124" t="s">
        <v>167</v>
      </c>
      <c r="F124" t="s">
        <v>781</v>
      </c>
      <c r="G124">
        <v>1</v>
      </c>
      <c r="H124" t="s">
        <v>28</v>
      </c>
      <c r="I124" s="4">
        <v>45315</v>
      </c>
      <c r="J124" s="4">
        <v>45336</v>
      </c>
      <c r="K124" t="s">
        <v>69</v>
      </c>
      <c r="L124" t="s">
        <v>912</v>
      </c>
      <c r="M124">
        <v>21</v>
      </c>
      <c r="N124">
        <v>0</v>
      </c>
      <c r="O124" t="s">
        <v>920</v>
      </c>
    </row>
    <row r="125" spans="1:15" x14ac:dyDescent="0.3">
      <c r="A125">
        <v>1465</v>
      </c>
      <c r="B125" t="s">
        <v>47</v>
      </c>
      <c r="C125">
        <v>25</v>
      </c>
      <c r="D125" t="s">
        <v>659</v>
      </c>
      <c r="E125" t="s">
        <v>167</v>
      </c>
      <c r="F125" t="s">
        <v>904</v>
      </c>
      <c r="G125">
        <v>5</v>
      </c>
      <c r="H125" t="s">
        <v>908</v>
      </c>
      <c r="I125" s="4">
        <v>45343</v>
      </c>
      <c r="J125" s="4">
        <v>45364</v>
      </c>
      <c r="K125" t="s">
        <v>69</v>
      </c>
      <c r="L125" t="s">
        <v>912</v>
      </c>
      <c r="M125">
        <v>21</v>
      </c>
      <c r="N125">
        <v>0</v>
      </c>
      <c r="O125" t="s">
        <v>920</v>
      </c>
    </row>
    <row r="126" spans="1:15" x14ac:dyDescent="0.3">
      <c r="A126">
        <v>1307</v>
      </c>
      <c r="B126" t="s">
        <v>47</v>
      </c>
      <c r="C126">
        <v>18</v>
      </c>
      <c r="D126" t="s">
        <v>24</v>
      </c>
      <c r="E126" t="s">
        <v>156</v>
      </c>
      <c r="F126" t="s">
        <v>834</v>
      </c>
      <c r="G126">
        <v>1</v>
      </c>
      <c r="H126" t="s">
        <v>17</v>
      </c>
      <c r="I126" s="4">
        <v>45403</v>
      </c>
      <c r="J126" s="4">
        <v>45383</v>
      </c>
      <c r="K126" t="s">
        <v>40</v>
      </c>
      <c r="L126" t="s">
        <v>912</v>
      </c>
      <c r="M126">
        <v>20</v>
      </c>
      <c r="N126">
        <v>1</v>
      </c>
      <c r="O126" t="s">
        <v>920</v>
      </c>
    </row>
    <row r="127" spans="1:15" x14ac:dyDescent="0.3">
      <c r="A127">
        <v>1098</v>
      </c>
      <c r="B127" t="s">
        <v>47</v>
      </c>
      <c r="C127">
        <v>19</v>
      </c>
      <c r="D127" t="s">
        <v>659</v>
      </c>
      <c r="E127" t="s">
        <v>25</v>
      </c>
      <c r="F127" t="s">
        <v>662</v>
      </c>
      <c r="G127">
        <v>1</v>
      </c>
      <c r="H127" t="s">
        <v>17</v>
      </c>
      <c r="I127" s="4">
        <v>45300</v>
      </c>
      <c r="J127" s="4">
        <v>45319</v>
      </c>
      <c r="K127" t="s">
        <v>40</v>
      </c>
      <c r="L127" t="s">
        <v>910</v>
      </c>
      <c r="M127">
        <v>19</v>
      </c>
      <c r="N127">
        <v>1</v>
      </c>
      <c r="O127" t="s">
        <v>920</v>
      </c>
    </row>
    <row r="128" spans="1:15" x14ac:dyDescent="0.3">
      <c r="A128">
        <v>1331</v>
      </c>
      <c r="B128" t="s">
        <v>74</v>
      </c>
      <c r="C128">
        <v>25</v>
      </c>
      <c r="D128" t="s">
        <v>24</v>
      </c>
      <c r="E128" t="s">
        <v>84</v>
      </c>
      <c r="F128" t="s">
        <v>719</v>
      </c>
      <c r="G128">
        <v>3</v>
      </c>
      <c r="H128" t="s">
        <v>76</v>
      </c>
      <c r="I128" s="4">
        <v>45429</v>
      </c>
      <c r="J128" s="4">
        <v>45410</v>
      </c>
      <c r="K128" t="s">
        <v>40</v>
      </c>
      <c r="L128" t="s">
        <v>909</v>
      </c>
      <c r="M128">
        <v>19</v>
      </c>
      <c r="N128">
        <v>1</v>
      </c>
      <c r="O128" t="s">
        <v>920</v>
      </c>
    </row>
    <row r="129" spans="1:15" x14ac:dyDescent="0.3">
      <c r="A129">
        <v>1088</v>
      </c>
      <c r="B129" t="s">
        <v>163</v>
      </c>
      <c r="C129">
        <v>21</v>
      </c>
      <c r="D129" t="s">
        <v>55</v>
      </c>
      <c r="E129" t="s">
        <v>84</v>
      </c>
      <c r="F129" t="s">
        <v>886</v>
      </c>
      <c r="G129">
        <v>1</v>
      </c>
      <c r="H129" t="s">
        <v>76</v>
      </c>
      <c r="I129" s="4">
        <v>45384</v>
      </c>
      <c r="J129" s="4">
        <v>45365</v>
      </c>
      <c r="K129" t="s">
        <v>914</v>
      </c>
      <c r="L129" t="s">
        <v>909</v>
      </c>
      <c r="M129">
        <v>19</v>
      </c>
      <c r="N129">
        <v>0</v>
      </c>
      <c r="O129" t="s">
        <v>920</v>
      </c>
    </row>
    <row r="130" spans="1:15" x14ac:dyDescent="0.3">
      <c r="A130">
        <v>1045</v>
      </c>
      <c r="B130" t="s">
        <v>22</v>
      </c>
      <c r="C130">
        <v>21</v>
      </c>
      <c r="D130" t="s">
        <v>55</v>
      </c>
      <c r="E130" t="s">
        <v>156</v>
      </c>
      <c r="F130" t="s">
        <v>896</v>
      </c>
      <c r="G130">
        <v>5</v>
      </c>
      <c r="H130" t="s">
        <v>17</v>
      </c>
      <c r="I130" s="4">
        <v>45332</v>
      </c>
      <c r="J130" s="4">
        <v>45314</v>
      </c>
      <c r="K130" t="s">
        <v>69</v>
      </c>
      <c r="L130" t="s">
        <v>913</v>
      </c>
      <c r="M130">
        <v>18</v>
      </c>
      <c r="N130">
        <v>0</v>
      </c>
      <c r="O130" t="s">
        <v>920</v>
      </c>
    </row>
    <row r="131" spans="1:15" x14ac:dyDescent="0.3">
      <c r="A131">
        <v>1213</v>
      </c>
      <c r="B131" t="s">
        <v>163</v>
      </c>
      <c r="C131">
        <v>24</v>
      </c>
      <c r="D131" t="s">
        <v>24</v>
      </c>
      <c r="E131" t="s">
        <v>84</v>
      </c>
      <c r="F131" t="s">
        <v>707</v>
      </c>
      <c r="G131">
        <v>0</v>
      </c>
      <c r="H131" t="s">
        <v>28</v>
      </c>
      <c r="I131" s="4">
        <v>45308</v>
      </c>
      <c r="J131" s="4">
        <v>45325</v>
      </c>
      <c r="K131" t="s">
        <v>20</v>
      </c>
      <c r="L131" t="s">
        <v>912</v>
      </c>
      <c r="M131">
        <v>17</v>
      </c>
      <c r="N131">
        <v>0</v>
      </c>
      <c r="O131" t="s">
        <v>920</v>
      </c>
    </row>
    <row r="132" spans="1:15" x14ac:dyDescent="0.3">
      <c r="A132">
        <v>1412</v>
      </c>
      <c r="B132" t="s">
        <v>47</v>
      </c>
      <c r="C132">
        <v>20</v>
      </c>
      <c r="D132" t="s">
        <v>55</v>
      </c>
      <c r="E132" t="s">
        <v>84</v>
      </c>
      <c r="F132" t="s">
        <v>840</v>
      </c>
      <c r="G132">
        <v>0</v>
      </c>
      <c r="H132" t="s">
        <v>908</v>
      </c>
      <c r="I132" s="4">
        <v>45354</v>
      </c>
      <c r="J132" s="4">
        <v>45370</v>
      </c>
      <c r="K132" t="s">
        <v>69</v>
      </c>
      <c r="L132" t="s">
        <v>913</v>
      </c>
      <c r="M132">
        <v>16</v>
      </c>
      <c r="N132">
        <v>0</v>
      </c>
      <c r="O132" t="s">
        <v>920</v>
      </c>
    </row>
    <row r="133" spans="1:15" x14ac:dyDescent="0.3">
      <c r="A133">
        <v>1413</v>
      </c>
      <c r="B133" t="s">
        <v>107</v>
      </c>
      <c r="C133">
        <v>22</v>
      </c>
      <c r="D133" t="s">
        <v>55</v>
      </c>
      <c r="E133" t="s">
        <v>84</v>
      </c>
      <c r="F133" t="s">
        <v>819</v>
      </c>
      <c r="G133">
        <v>4</v>
      </c>
      <c r="H133" t="s">
        <v>17</v>
      </c>
      <c r="I133" s="4">
        <v>45355</v>
      </c>
      <c r="J133" s="4">
        <v>45368</v>
      </c>
      <c r="K133" t="s">
        <v>40</v>
      </c>
      <c r="L133" t="s">
        <v>910</v>
      </c>
      <c r="M133">
        <v>13</v>
      </c>
      <c r="N133">
        <v>1</v>
      </c>
      <c r="O133" t="s">
        <v>920</v>
      </c>
    </row>
    <row r="134" spans="1:15" x14ac:dyDescent="0.3">
      <c r="A134">
        <v>1387</v>
      </c>
      <c r="B134" t="s">
        <v>47</v>
      </c>
      <c r="C134">
        <v>22</v>
      </c>
      <c r="D134" t="s">
        <v>55</v>
      </c>
      <c r="E134" t="s">
        <v>156</v>
      </c>
      <c r="F134" t="s">
        <v>715</v>
      </c>
      <c r="G134">
        <v>2</v>
      </c>
      <c r="H134" t="s">
        <v>28</v>
      </c>
      <c r="I134" s="4">
        <v>45455</v>
      </c>
      <c r="J134" s="4">
        <v>45444</v>
      </c>
      <c r="K134" t="s">
        <v>40</v>
      </c>
      <c r="L134" t="s">
        <v>911</v>
      </c>
      <c r="M134">
        <v>11</v>
      </c>
      <c r="N134">
        <v>1</v>
      </c>
      <c r="O134" t="s">
        <v>920</v>
      </c>
    </row>
    <row r="135" spans="1:15" x14ac:dyDescent="0.3">
      <c r="A135">
        <v>1174</v>
      </c>
      <c r="B135" t="s">
        <v>22</v>
      </c>
      <c r="C135">
        <v>21</v>
      </c>
      <c r="D135" t="s">
        <v>55</v>
      </c>
      <c r="E135" t="s">
        <v>25</v>
      </c>
      <c r="F135" t="s">
        <v>901</v>
      </c>
      <c r="G135">
        <v>0</v>
      </c>
      <c r="H135" t="s">
        <v>17</v>
      </c>
      <c r="I135" s="4">
        <v>45390</v>
      </c>
      <c r="J135" s="4">
        <v>45400</v>
      </c>
      <c r="K135" t="s">
        <v>914</v>
      </c>
      <c r="L135" t="s">
        <v>909</v>
      </c>
      <c r="M135">
        <v>10</v>
      </c>
      <c r="N135">
        <v>0</v>
      </c>
      <c r="O135" t="s">
        <v>920</v>
      </c>
    </row>
    <row r="136" spans="1:15" x14ac:dyDescent="0.3">
      <c r="A136">
        <v>1027</v>
      </c>
      <c r="B136" t="s">
        <v>22</v>
      </c>
      <c r="C136">
        <v>22</v>
      </c>
      <c r="D136" t="s">
        <v>659</v>
      </c>
      <c r="E136" t="s">
        <v>25</v>
      </c>
      <c r="F136" t="s">
        <v>793</v>
      </c>
      <c r="G136">
        <v>4</v>
      </c>
      <c r="H136" t="s">
        <v>908</v>
      </c>
      <c r="I136" s="4">
        <v>45348</v>
      </c>
      <c r="J136" s="4">
        <v>45339</v>
      </c>
      <c r="K136" t="s">
        <v>914</v>
      </c>
      <c r="L136" t="s">
        <v>909</v>
      </c>
      <c r="M136">
        <v>9</v>
      </c>
      <c r="N136">
        <v>0</v>
      </c>
      <c r="O136" t="s">
        <v>920</v>
      </c>
    </row>
    <row r="137" spans="1:15" x14ac:dyDescent="0.3">
      <c r="A137">
        <v>1303</v>
      </c>
      <c r="B137" t="s">
        <v>120</v>
      </c>
      <c r="C137">
        <v>20</v>
      </c>
      <c r="D137" t="s">
        <v>55</v>
      </c>
      <c r="E137" t="s">
        <v>167</v>
      </c>
      <c r="F137" t="s">
        <v>803</v>
      </c>
      <c r="G137">
        <v>1</v>
      </c>
      <c r="H137" t="s">
        <v>17</v>
      </c>
      <c r="I137" s="4">
        <v>45450</v>
      </c>
      <c r="J137" s="4">
        <v>45459</v>
      </c>
      <c r="K137" t="s">
        <v>914</v>
      </c>
      <c r="L137" t="s">
        <v>910</v>
      </c>
      <c r="M137">
        <v>9</v>
      </c>
      <c r="N137">
        <v>0</v>
      </c>
      <c r="O137" t="s">
        <v>920</v>
      </c>
    </row>
    <row r="138" spans="1:15" x14ac:dyDescent="0.3">
      <c r="A138">
        <v>1433</v>
      </c>
      <c r="B138" t="s">
        <v>120</v>
      </c>
      <c r="C138">
        <v>18</v>
      </c>
      <c r="D138" t="s">
        <v>55</v>
      </c>
      <c r="E138" t="s">
        <v>156</v>
      </c>
      <c r="F138" t="s">
        <v>816</v>
      </c>
      <c r="G138">
        <v>1</v>
      </c>
      <c r="H138" t="s">
        <v>17</v>
      </c>
      <c r="I138" s="4">
        <v>45405</v>
      </c>
      <c r="J138" s="4">
        <v>45414</v>
      </c>
      <c r="K138" t="s">
        <v>40</v>
      </c>
      <c r="L138" t="s">
        <v>913</v>
      </c>
      <c r="M138">
        <v>9</v>
      </c>
      <c r="N138">
        <v>1</v>
      </c>
      <c r="O138" t="s">
        <v>920</v>
      </c>
    </row>
    <row r="139" spans="1:15" x14ac:dyDescent="0.3">
      <c r="A139">
        <v>1459</v>
      </c>
      <c r="B139" t="s">
        <v>74</v>
      </c>
      <c r="C139">
        <v>22</v>
      </c>
      <c r="D139" t="s">
        <v>24</v>
      </c>
      <c r="E139" t="s">
        <v>156</v>
      </c>
      <c r="F139" t="s">
        <v>744</v>
      </c>
      <c r="G139">
        <v>0</v>
      </c>
      <c r="H139" t="s">
        <v>28</v>
      </c>
      <c r="I139" s="4">
        <v>45328</v>
      </c>
      <c r="J139" s="4">
        <v>45333</v>
      </c>
      <c r="K139" t="s">
        <v>20</v>
      </c>
      <c r="L139" t="s">
        <v>913</v>
      </c>
      <c r="M139">
        <v>5</v>
      </c>
      <c r="N139">
        <v>0</v>
      </c>
      <c r="O139" t="s">
        <v>920</v>
      </c>
    </row>
    <row r="140" spans="1:15" x14ac:dyDescent="0.3">
      <c r="A140">
        <v>1186</v>
      </c>
      <c r="B140" t="s">
        <v>120</v>
      </c>
      <c r="C140">
        <v>21</v>
      </c>
      <c r="D140" t="s">
        <v>659</v>
      </c>
      <c r="E140" t="s">
        <v>167</v>
      </c>
      <c r="F140" t="s">
        <v>749</v>
      </c>
      <c r="G140">
        <v>2</v>
      </c>
      <c r="H140" t="s">
        <v>76</v>
      </c>
      <c r="I140" s="4">
        <v>45332</v>
      </c>
      <c r="J140" s="4">
        <v>45337</v>
      </c>
      <c r="K140" t="s">
        <v>20</v>
      </c>
      <c r="L140" t="s">
        <v>912</v>
      </c>
      <c r="M140">
        <v>5</v>
      </c>
      <c r="N140">
        <v>0</v>
      </c>
      <c r="O140" t="s">
        <v>920</v>
      </c>
    </row>
    <row r="141" spans="1:15" x14ac:dyDescent="0.3">
      <c r="A141">
        <v>1254</v>
      </c>
      <c r="B141" t="s">
        <v>117</v>
      </c>
      <c r="C141">
        <v>22</v>
      </c>
      <c r="D141" t="s">
        <v>55</v>
      </c>
      <c r="E141" t="s">
        <v>167</v>
      </c>
      <c r="F141" t="s">
        <v>830</v>
      </c>
      <c r="G141">
        <v>2</v>
      </c>
      <c r="H141" t="s">
        <v>28</v>
      </c>
      <c r="I141" s="4">
        <v>45345</v>
      </c>
      <c r="J141" s="4">
        <v>45350</v>
      </c>
      <c r="K141" t="s">
        <v>914</v>
      </c>
      <c r="L141" t="s">
        <v>909</v>
      </c>
      <c r="M141">
        <v>5</v>
      </c>
      <c r="N141">
        <v>0</v>
      </c>
      <c r="O141" t="s">
        <v>920</v>
      </c>
    </row>
    <row r="142" spans="1:15" x14ac:dyDescent="0.3">
      <c r="A142">
        <v>1244</v>
      </c>
      <c r="B142" t="s">
        <v>22</v>
      </c>
      <c r="C142">
        <v>25</v>
      </c>
      <c r="D142" t="s">
        <v>659</v>
      </c>
      <c r="E142" t="s">
        <v>167</v>
      </c>
      <c r="F142" t="s">
        <v>742</v>
      </c>
      <c r="G142">
        <v>4</v>
      </c>
      <c r="H142" t="s">
        <v>28</v>
      </c>
      <c r="I142" s="4">
        <v>45359</v>
      </c>
      <c r="J142" s="4">
        <v>45356</v>
      </c>
      <c r="K142" t="s">
        <v>914</v>
      </c>
      <c r="L142" t="s">
        <v>910</v>
      </c>
      <c r="M142">
        <v>3</v>
      </c>
      <c r="N142">
        <v>0</v>
      </c>
      <c r="O142" t="s">
        <v>920</v>
      </c>
    </row>
    <row r="143" spans="1:15" x14ac:dyDescent="0.3">
      <c r="A143">
        <v>1195</v>
      </c>
      <c r="B143" t="s">
        <v>107</v>
      </c>
      <c r="C143">
        <v>25</v>
      </c>
      <c r="D143" t="s">
        <v>24</v>
      </c>
      <c r="E143" t="s">
        <v>84</v>
      </c>
      <c r="F143" t="s">
        <v>906</v>
      </c>
      <c r="G143">
        <v>3</v>
      </c>
      <c r="H143" t="s">
        <v>908</v>
      </c>
      <c r="I143" s="4">
        <v>45348</v>
      </c>
      <c r="J143" s="4">
        <v>45345</v>
      </c>
      <c r="K143" t="s">
        <v>40</v>
      </c>
      <c r="L143" t="s">
        <v>911</v>
      </c>
      <c r="M143">
        <v>3</v>
      </c>
      <c r="N143">
        <v>1</v>
      </c>
      <c r="O143" t="s">
        <v>920</v>
      </c>
    </row>
    <row r="144" spans="1:15" x14ac:dyDescent="0.3">
      <c r="A144">
        <v>1385</v>
      </c>
      <c r="B144" t="s">
        <v>22</v>
      </c>
      <c r="C144">
        <v>18</v>
      </c>
      <c r="D144" t="s">
        <v>55</v>
      </c>
      <c r="E144" t="s">
        <v>84</v>
      </c>
      <c r="F144" t="s">
        <v>820</v>
      </c>
      <c r="G144">
        <v>4</v>
      </c>
      <c r="H144" t="s">
        <v>17</v>
      </c>
      <c r="I144" s="4">
        <v>45311</v>
      </c>
      <c r="J144" s="4">
        <v>45309</v>
      </c>
      <c r="K144" t="s">
        <v>40</v>
      </c>
      <c r="L144" t="s">
        <v>909</v>
      </c>
      <c r="M144">
        <v>2</v>
      </c>
      <c r="N144">
        <v>1</v>
      </c>
      <c r="O144" t="s">
        <v>920</v>
      </c>
    </row>
    <row r="145" spans="1:15" x14ac:dyDescent="0.3">
      <c r="A145">
        <v>1348</v>
      </c>
      <c r="B145" t="s">
        <v>163</v>
      </c>
      <c r="C145">
        <v>18</v>
      </c>
      <c r="D145" t="s">
        <v>24</v>
      </c>
      <c r="E145" t="s">
        <v>25</v>
      </c>
      <c r="F145" t="s">
        <v>703</v>
      </c>
      <c r="G145">
        <v>4</v>
      </c>
      <c r="H145" t="s">
        <v>17</v>
      </c>
      <c r="I145" s="4">
        <v>45327</v>
      </c>
      <c r="J145" s="4">
        <v>45328</v>
      </c>
      <c r="K145" t="s">
        <v>914</v>
      </c>
      <c r="L145" t="s">
        <v>911</v>
      </c>
      <c r="M145">
        <v>1</v>
      </c>
      <c r="N145">
        <v>0</v>
      </c>
      <c r="O145" t="s">
        <v>920</v>
      </c>
    </row>
    <row r="146" spans="1:15" x14ac:dyDescent="0.3">
      <c r="A146">
        <v>1255</v>
      </c>
      <c r="B146" t="s">
        <v>74</v>
      </c>
      <c r="C146">
        <v>21</v>
      </c>
      <c r="D146" t="s">
        <v>24</v>
      </c>
      <c r="E146" t="s">
        <v>156</v>
      </c>
      <c r="F146" t="s">
        <v>741</v>
      </c>
      <c r="G146">
        <v>1</v>
      </c>
      <c r="H146" t="s">
        <v>908</v>
      </c>
      <c r="I146" s="4">
        <v>45466</v>
      </c>
      <c r="J146" s="4">
        <v>45467</v>
      </c>
      <c r="K146" t="s">
        <v>20</v>
      </c>
      <c r="L146" t="s">
        <v>910</v>
      </c>
      <c r="M146">
        <v>1</v>
      </c>
      <c r="N146">
        <v>0</v>
      </c>
      <c r="O146" t="s">
        <v>920</v>
      </c>
    </row>
    <row r="147" spans="1:15" x14ac:dyDescent="0.3">
      <c r="I147"/>
      <c r="J147"/>
    </row>
    <row r="148" spans="1:15" x14ac:dyDescent="0.3">
      <c r="I148"/>
      <c r="J148"/>
    </row>
    <row r="149" spans="1:15" x14ac:dyDescent="0.3">
      <c r="I149"/>
      <c r="J149"/>
    </row>
    <row r="150" spans="1:15" x14ac:dyDescent="0.3">
      <c r="I150"/>
      <c r="J150"/>
    </row>
    <row r="151" spans="1:15" x14ac:dyDescent="0.3">
      <c r="I151"/>
      <c r="J151"/>
    </row>
    <row r="152" spans="1:15" x14ac:dyDescent="0.3">
      <c r="I152"/>
      <c r="J152"/>
    </row>
    <row r="153" spans="1:15" x14ac:dyDescent="0.3">
      <c r="I153"/>
      <c r="J153"/>
    </row>
    <row r="154" spans="1:15" x14ac:dyDescent="0.3">
      <c r="I154"/>
      <c r="J154"/>
    </row>
    <row r="155" spans="1:15" x14ac:dyDescent="0.3">
      <c r="I155"/>
      <c r="J155"/>
    </row>
    <row r="156" spans="1:15" x14ac:dyDescent="0.3">
      <c r="I156"/>
      <c r="J156"/>
    </row>
    <row r="157" spans="1:15" x14ac:dyDescent="0.3">
      <c r="I157"/>
      <c r="J157"/>
    </row>
    <row r="158" spans="1:15" x14ac:dyDescent="0.3">
      <c r="I158"/>
      <c r="J158"/>
    </row>
    <row r="159" spans="1:15" x14ac:dyDescent="0.3">
      <c r="I159"/>
      <c r="J159"/>
    </row>
    <row r="160" spans="1:15" x14ac:dyDescent="0.3">
      <c r="I160"/>
      <c r="J160"/>
    </row>
    <row r="161" spans="9:10" x14ac:dyDescent="0.3">
      <c r="I161"/>
      <c r="J161"/>
    </row>
    <row r="162" spans="9:10" x14ac:dyDescent="0.3">
      <c r="I162"/>
      <c r="J162"/>
    </row>
    <row r="163" spans="9:10" x14ac:dyDescent="0.3">
      <c r="I163"/>
      <c r="J163"/>
    </row>
    <row r="164" spans="9:10" x14ac:dyDescent="0.3">
      <c r="I164"/>
      <c r="J164"/>
    </row>
    <row r="165" spans="9:10" x14ac:dyDescent="0.3">
      <c r="I165"/>
      <c r="J165"/>
    </row>
    <row r="166" spans="9:10" x14ac:dyDescent="0.3">
      <c r="I166"/>
      <c r="J166"/>
    </row>
    <row r="167" spans="9:10" x14ac:dyDescent="0.3">
      <c r="I167"/>
      <c r="J167"/>
    </row>
    <row r="168" spans="9:10" x14ac:dyDescent="0.3">
      <c r="I168"/>
      <c r="J168"/>
    </row>
    <row r="169" spans="9:10" x14ac:dyDescent="0.3">
      <c r="I169"/>
      <c r="J169"/>
    </row>
    <row r="170" spans="9:10" x14ac:dyDescent="0.3">
      <c r="I170"/>
      <c r="J170"/>
    </row>
    <row r="171" spans="9:10" x14ac:dyDescent="0.3">
      <c r="I171"/>
      <c r="J171"/>
    </row>
    <row r="172" spans="9:10" x14ac:dyDescent="0.3">
      <c r="I172"/>
      <c r="J172"/>
    </row>
    <row r="173" spans="9:10" x14ac:dyDescent="0.3">
      <c r="I173"/>
      <c r="J173"/>
    </row>
    <row r="174" spans="9:10" x14ac:dyDescent="0.3">
      <c r="I174"/>
      <c r="J174"/>
    </row>
  </sheetData>
  <conditionalFormatting sqref="A1:A146 A175:A1048576">
    <cfRule type="duplicateValues" dxfId="21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DFBCA-A79F-4473-A9E1-7684D70B2DEB}">
  <dimension ref="A1:P174"/>
  <sheetViews>
    <sheetView workbookViewId="0">
      <selection activeCell="D1" sqref="D1:D1048576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12.88671875" customWidth="1"/>
    <col min="4" max="4" width="6.44140625" bestFit="1" customWidth="1"/>
    <col min="5" max="5" width="9.33203125" bestFit="1" customWidth="1"/>
    <col min="6" max="6" width="14" bestFit="1" customWidth="1"/>
    <col min="7" max="7" width="20.33203125" bestFit="1" customWidth="1"/>
    <col min="8" max="8" width="19.5546875" bestFit="1" customWidth="1"/>
    <col min="9" max="9" width="20.88671875" bestFit="1" customWidth="1"/>
    <col min="10" max="10" width="13.6640625" bestFit="1" customWidth="1"/>
    <col min="11" max="11" width="20.33203125" bestFit="1" customWidth="1"/>
    <col min="12" max="12" width="16.5546875" bestFit="1" customWidth="1"/>
    <col min="13" max="13" width="10.44140625" bestFit="1" customWidth="1"/>
    <col min="14" max="14" width="26" bestFit="1" customWidth="1"/>
    <col min="15" max="15" width="10.77734375" bestFit="1" customWidth="1"/>
    <col min="16" max="16" width="12.6640625" bestFit="1" customWidth="1"/>
  </cols>
  <sheetData>
    <row r="1" spans="1:16" x14ac:dyDescent="0.3">
      <c r="A1" t="s">
        <v>0</v>
      </c>
      <c r="B1" t="s">
        <v>1</v>
      </c>
      <c r="C1" t="s">
        <v>915</v>
      </c>
      <c r="D1" t="s">
        <v>2</v>
      </c>
      <c r="E1" t="s">
        <v>3</v>
      </c>
      <c r="F1" t="s">
        <v>4</v>
      </c>
      <c r="G1" t="s">
        <v>656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916</v>
      </c>
      <c r="O1" t="s">
        <v>917</v>
      </c>
      <c r="P1" t="s">
        <v>918</v>
      </c>
    </row>
    <row r="2" spans="1:16" x14ac:dyDescent="0.3">
      <c r="A2">
        <v>1322</v>
      </c>
      <c r="B2" t="s">
        <v>32</v>
      </c>
      <c r="D2">
        <v>25</v>
      </c>
      <c r="E2" t="s">
        <v>659</v>
      </c>
      <c r="F2" t="s">
        <v>156</v>
      </c>
      <c r="G2" t="s">
        <v>660</v>
      </c>
      <c r="H2">
        <v>2</v>
      </c>
      <c r="I2" t="s">
        <v>28</v>
      </c>
      <c r="J2" s="5">
        <v>45354</v>
      </c>
      <c r="K2" s="5">
        <v>45334</v>
      </c>
      <c r="L2" t="s">
        <v>40</v>
      </c>
      <c r="M2" t="s">
        <v>909</v>
      </c>
      <c r="N2" t="s">
        <v>919</v>
      </c>
      <c r="O2">
        <v>1</v>
      </c>
      <c r="P2" t="s">
        <v>920</v>
      </c>
    </row>
    <row r="3" spans="1:16" x14ac:dyDescent="0.3">
      <c r="A3">
        <v>1476</v>
      </c>
      <c r="B3" t="s">
        <v>12</v>
      </c>
      <c r="C3" t="b">
        <f t="shared" ref="C3:C33" si="0">IF(OR(D3=0, D3&lt;0, D3&gt;80, ISBLANK(D3)), D3)</f>
        <v>0</v>
      </c>
      <c r="D3">
        <v>21</v>
      </c>
      <c r="E3" t="s">
        <v>55</v>
      </c>
      <c r="F3" t="s">
        <v>25</v>
      </c>
      <c r="G3" t="s">
        <v>661</v>
      </c>
      <c r="H3">
        <v>0</v>
      </c>
      <c r="I3" t="s">
        <v>17</v>
      </c>
      <c r="J3" s="5">
        <v>45426</v>
      </c>
      <c r="K3" s="5">
        <v>45508</v>
      </c>
      <c r="L3" t="s">
        <v>69</v>
      </c>
      <c r="M3" t="s">
        <v>909</v>
      </c>
      <c r="N3" t="s">
        <v>921</v>
      </c>
      <c r="O3">
        <v>0</v>
      </c>
      <c r="P3" t="s">
        <v>920</v>
      </c>
    </row>
    <row r="4" spans="1:16" x14ac:dyDescent="0.3">
      <c r="A4">
        <v>1098</v>
      </c>
      <c r="B4" t="s">
        <v>47</v>
      </c>
      <c r="C4" t="b">
        <f t="shared" si="0"/>
        <v>0</v>
      </c>
      <c r="D4">
        <v>19</v>
      </c>
      <c r="E4" t="s">
        <v>659</v>
      </c>
      <c r="F4" t="s">
        <v>25</v>
      </c>
      <c r="G4" t="s">
        <v>662</v>
      </c>
      <c r="H4">
        <v>1</v>
      </c>
      <c r="I4" t="s">
        <v>17</v>
      </c>
      <c r="J4" s="5">
        <v>45300</v>
      </c>
      <c r="K4" s="5">
        <v>45319</v>
      </c>
      <c r="L4" t="s">
        <v>40</v>
      </c>
      <c r="M4" t="s">
        <v>910</v>
      </c>
      <c r="N4" t="s">
        <v>922</v>
      </c>
      <c r="O4">
        <v>1</v>
      </c>
      <c r="P4" t="s">
        <v>920</v>
      </c>
    </row>
    <row r="5" spans="1:16" x14ac:dyDescent="0.3">
      <c r="A5">
        <v>1230</v>
      </c>
      <c r="B5" t="s">
        <v>12</v>
      </c>
      <c r="C5" t="b">
        <f t="shared" si="0"/>
        <v>0</v>
      </c>
      <c r="D5">
        <v>21</v>
      </c>
      <c r="E5" t="s">
        <v>55</v>
      </c>
      <c r="F5" t="s">
        <v>25</v>
      </c>
      <c r="G5" t="s">
        <v>663</v>
      </c>
      <c r="H5">
        <v>5</v>
      </c>
      <c r="I5" t="s">
        <v>17</v>
      </c>
      <c r="J5" s="5">
        <v>45370</v>
      </c>
      <c r="K5" s="5">
        <v>45399</v>
      </c>
      <c r="L5" t="s">
        <v>40</v>
      </c>
      <c r="M5" t="s">
        <v>911</v>
      </c>
      <c r="N5" t="s">
        <v>923</v>
      </c>
      <c r="O5">
        <v>1</v>
      </c>
      <c r="P5" t="s">
        <v>920</v>
      </c>
    </row>
    <row r="6" spans="1:16" x14ac:dyDescent="0.3">
      <c r="A6">
        <v>1106</v>
      </c>
      <c r="B6" t="s">
        <v>74</v>
      </c>
      <c r="C6" t="b">
        <f t="shared" si="0"/>
        <v>0</v>
      </c>
      <c r="D6">
        <v>24</v>
      </c>
      <c r="E6" t="s">
        <v>24</v>
      </c>
      <c r="F6" t="s">
        <v>156</v>
      </c>
      <c r="G6" t="s">
        <v>666</v>
      </c>
      <c r="H6">
        <v>3</v>
      </c>
      <c r="I6" t="s">
        <v>76</v>
      </c>
      <c r="J6" s="5">
        <v>45316</v>
      </c>
      <c r="K6" s="5">
        <v>45317</v>
      </c>
      <c r="L6" t="s">
        <v>40</v>
      </c>
      <c r="M6" t="s">
        <v>912</v>
      </c>
      <c r="N6" t="s">
        <v>50</v>
      </c>
      <c r="O6">
        <v>1</v>
      </c>
      <c r="P6" t="s">
        <v>920</v>
      </c>
    </row>
    <row r="7" spans="1:16" x14ac:dyDescent="0.3">
      <c r="A7">
        <v>1123</v>
      </c>
      <c r="B7" t="s">
        <v>22</v>
      </c>
      <c r="C7" t="b">
        <f t="shared" si="0"/>
        <v>0</v>
      </c>
      <c r="D7">
        <v>20</v>
      </c>
      <c r="E7" t="s">
        <v>55</v>
      </c>
      <c r="F7" t="s">
        <v>84</v>
      </c>
      <c r="G7" t="s">
        <v>667</v>
      </c>
      <c r="H7">
        <v>3</v>
      </c>
      <c r="I7" t="s">
        <v>17</v>
      </c>
      <c r="J7" s="5">
        <v>45444</v>
      </c>
      <c r="K7" s="5">
        <v>45365</v>
      </c>
      <c r="L7" t="s">
        <v>40</v>
      </c>
      <c r="M7" t="s">
        <v>909</v>
      </c>
      <c r="N7" t="s">
        <v>924</v>
      </c>
      <c r="O7">
        <v>1</v>
      </c>
      <c r="P7" t="s">
        <v>920</v>
      </c>
    </row>
    <row r="8" spans="1:16" x14ac:dyDescent="0.3">
      <c r="A8">
        <v>1214</v>
      </c>
      <c r="B8" t="s">
        <v>22</v>
      </c>
      <c r="C8" t="b">
        <f t="shared" si="0"/>
        <v>0</v>
      </c>
      <c r="D8">
        <v>19</v>
      </c>
      <c r="E8" t="s">
        <v>55</v>
      </c>
      <c r="F8" t="s">
        <v>84</v>
      </c>
      <c r="G8" t="s">
        <v>669</v>
      </c>
      <c r="H8">
        <v>0</v>
      </c>
      <c r="I8" t="s">
        <v>908</v>
      </c>
      <c r="J8" s="5">
        <v>45310</v>
      </c>
      <c r="K8" s="5">
        <v>45439</v>
      </c>
      <c r="L8" t="s">
        <v>40</v>
      </c>
      <c r="M8" t="s">
        <v>910</v>
      </c>
      <c r="N8" t="s">
        <v>925</v>
      </c>
      <c r="O8">
        <v>1</v>
      </c>
      <c r="P8" t="s">
        <v>920</v>
      </c>
    </row>
    <row r="9" spans="1:16" x14ac:dyDescent="0.3">
      <c r="A9">
        <v>1113</v>
      </c>
      <c r="B9" t="s">
        <v>47</v>
      </c>
      <c r="C9" t="b">
        <f t="shared" si="0"/>
        <v>0</v>
      </c>
      <c r="D9">
        <v>18</v>
      </c>
      <c r="E9" t="s">
        <v>24</v>
      </c>
      <c r="F9" t="s">
        <v>25</v>
      </c>
      <c r="G9" t="s">
        <v>672</v>
      </c>
      <c r="H9">
        <v>1</v>
      </c>
      <c r="I9" t="s">
        <v>908</v>
      </c>
      <c r="J9" s="5">
        <v>45344</v>
      </c>
      <c r="K9" s="5">
        <v>45309</v>
      </c>
      <c r="L9" t="s">
        <v>69</v>
      </c>
      <c r="M9" t="s">
        <v>911</v>
      </c>
      <c r="N9" t="s">
        <v>926</v>
      </c>
      <c r="O9">
        <v>0</v>
      </c>
      <c r="P9" t="s">
        <v>920</v>
      </c>
    </row>
    <row r="10" spans="1:16" x14ac:dyDescent="0.3">
      <c r="A10">
        <v>1126</v>
      </c>
      <c r="B10" t="s">
        <v>107</v>
      </c>
      <c r="C10" t="b">
        <f t="shared" si="0"/>
        <v>0</v>
      </c>
      <c r="D10">
        <v>20</v>
      </c>
      <c r="E10" t="s">
        <v>55</v>
      </c>
      <c r="F10" t="s">
        <v>156</v>
      </c>
      <c r="G10" t="s">
        <v>673</v>
      </c>
      <c r="H10">
        <v>5</v>
      </c>
      <c r="I10" t="s">
        <v>28</v>
      </c>
      <c r="J10" s="5">
        <v>45305</v>
      </c>
      <c r="K10" s="5">
        <v>45392</v>
      </c>
      <c r="L10" t="s">
        <v>69</v>
      </c>
      <c r="M10" t="s">
        <v>910</v>
      </c>
      <c r="N10" t="s">
        <v>927</v>
      </c>
      <c r="O10">
        <v>0</v>
      </c>
      <c r="P10" t="s">
        <v>920</v>
      </c>
    </row>
    <row r="11" spans="1:16" x14ac:dyDescent="0.3">
      <c r="A11">
        <v>1047</v>
      </c>
      <c r="B11" t="s">
        <v>32</v>
      </c>
      <c r="C11" t="b">
        <f t="shared" si="0"/>
        <v>0</v>
      </c>
      <c r="D11">
        <v>21</v>
      </c>
      <c r="E11" t="s">
        <v>24</v>
      </c>
      <c r="F11" t="s">
        <v>84</v>
      </c>
      <c r="G11" t="s">
        <v>674</v>
      </c>
      <c r="H11">
        <v>5</v>
      </c>
      <c r="I11" t="s">
        <v>17</v>
      </c>
      <c r="J11" s="5">
        <v>45451</v>
      </c>
      <c r="K11" s="5">
        <v>45539</v>
      </c>
      <c r="L11" t="s">
        <v>40</v>
      </c>
      <c r="M11" t="s">
        <v>913</v>
      </c>
      <c r="N11" t="s">
        <v>928</v>
      </c>
      <c r="O11">
        <v>1</v>
      </c>
      <c r="P11" t="s">
        <v>920</v>
      </c>
    </row>
    <row r="12" spans="1:16" x14ac:dyDescent="0.3">
      <c r="A12">
        <v>1430</v>
      </c>
      <c r="B12" t="s">
        <v>22</v>
      </c>
      <c r="C12" t="b">
        <f t="shared" si="0"/>
        <v>0</v>
      </c>
      <c r="D12">
        <v>22</v>
      </c>
      <c r="E12" t="s">
        <v>55</v>
      </c>
      <c r="F12" t="s">
        <v>84</v>
      </c>
      <c r="G12" t="s">
        <v>677</v>
      </c>
      <c r="H12">
        <v>5</v>
      </c>
      <c r="I12" t="s">
        <v>76</v>
      </c>
      <c r="J12" s="5">
        <v>45538</v>
      </c>
      <c r="K12" s="5">
        <v>45429</v>
      </c>
      <c r="L12" t="s">
        <v>40</v>
      </c>
      <c r="M12" t="s">
        <v>913</v>
      </c>
      <c r="N12" t="s">
        <v>929</v>
      </c>
      <c r="O12">
        <v>1</v>
      </c>
      <c r="P12" t="s">
        <v>920</v>
      </c>
    </row>
    <row r="13" spans="1:16" x14ac:dyDescent="0.3">
      <c r="A13">
        <v>1224</v>
      </c>
      <c r="B13" t="s">
        <v>74</v>
      </c>
      <c r="C13">
        <f t="shared" si="0"/>
        <v>0</v>
      </c>
      <c r="D13">
        <v>0</v>
      </c>
      <c r="E13" t="s">
        <v>55</v>
      </c>
      <c r="F13" t="s">
        <v>25</v>
      </c>
      <c r="G13" t="s">
        <v>678</v>
      </c>
      <c r="H13">
        <v>1</v>
      </c>
      <c r="I13" t="s">
        <v>908</v>
      </c>
      <c r="J13" s="5">
        <v>45406</v>
      </c>
      <c r="K13" s="5">
        <v>45447</v>
      </c>
      <c r="L13" t="s">
        <v>914</v>
      </c>
      <c r="M13" t="s">
        <v>910</v>
      </c>
      <c r="N13" t="s">
        <v>930</v>
      </c>
      <c r="O13">
        <v>0</v>
      </c>
      <c r="P13" t="s">
        <v>920</v>
      </c>
    </row>
    <row r="14" spans="1:16" x14ac:dyDescent="0.3">
      <c r="A14">
        <v>1111</v>
      </c>
      <c r="B14" t="s">
        <v>74</v>
      </c>
      <c r="C14">
        <f t="shared" si="0"/>
        <v>0</v>
      </c>
      <c r="D14">
        <v>0</v>
      </c>
      <c r="E14" t="s">
        <v>24</v>
      </c>
      <c r="F14" t="s">
        <v>25</v>
      </c>
      <c r="G14" t="s">
        <v>679</v>
      </c>
      <c r="H14">
        <v>2</v>
      </c>
      <c r="I14" t="s">
        <v>17</v>
      </c>
      <c r="J14" s="5">
        <v>45303</v>
      </c>
      <c r="K14" s="5">
        <v>45363</v>
      </c>
      <c r="L14" t="s">
        <v>20</v>
      </c>
      <c r="M14" t="s">
        <v>909</v>
      </c>
      <c r="N14" t="s">
        <v>931</v>
      </c>
      <c r="O14">
        <v>0</v>
      </c>
      <c r="P14" t="s">
        <v>920</v>
      </c>
    </row>
    <row r="15" spans="1:16" x14ac:dyDescent="0.3">
      <c r="A15">
        <v>1409</v>
      </c>
      <c r="B15" t="s">
        <v>136</v>
      </c>
      <c r="C15" t="b">
        <f t="shared" si="0"/>
        <v>0</v>
      </c>
      <c r="D15">
        <v>20</v>
      </c>
      <c r="E15" t="s">
        <v>24</v>
      </c>
      <c r="F15" t="s">
        <v>84</v>
      </c>
      <c r="G15" t="s">
        <v>680</v>
      </c>
      <c r="H15">
        <v>3</v>
      </c>
      <c r="I15" t="s">
        <v>908</v>
      </c>
      <c r="J15" s="5">
        <v>45506</v>
      </c>
      <c r="K15" s="5">
        <v>45328</v>
      </c>
      <c r="L15" t="s">
        <v>20</v>
      </c>
      <c r="M15" t="s">
        <v>911</v>
      </c>
      <c r="N15" t="s">
        <v>932</v>
      </c>
      <c r="O15">
        <v>0</v>
      </c>
      <c r="P15" t="s">
        <v>920</v>
      </c>
    </row>
    <row r="16" spans="1:16" x14ac:dyDescent="0.3">
      <c r="A16">
        <v>1334</v>
      </c>
      <c r="B16" t="s">
        <v>107</v>
      </c>
      <c r="C16" t="b">
        <f t="shared" si="0"/>
        <v>0</v>
      </c>
      <c r="D16">
        <v>22</v>
      </c>
      <c r="E16" t="s">
        <v>659</v>
      </c>
      <c r="F16" t="s">
        <v>167</v>
      </c>
      <c r="G16" t="s">
        <v>682</v>
      </c>
      <c r="H16">
        <v>4</v>
      </c>
      <c r="I16" t="s">
        <v>28</v>
      </c>
      <c r="J16" s="5">
        <v>45328</v>
      </c>
      <c r="K16" s="5">
        <v>45390</v>
      </c>
      <c r="L16" t="s">
        <v>914</v>
      </c>
      <c r="M16" t="s">
        <v>909</v>
      </c>
      <c r="N16" t="s">
        <v>933</v>
      </c>
      <c r="O16">
        <v>0</v>
      </c>
      <c r="P16" t="s">
        <v>920</v>
      </c>
    </row>
    <row r="17" spans="1:16" x14ac:dyDescent="0.3">
      <c r="A17">
        <v>1420</v>
      </c>
      <c r="B17" t="s">
        <v>22</v>
      </c>
      <c r="C17" t="b">
        <f t="shared" si="0"/>
        <v>0</v>
      </c>
      <c r="D17">
        <v>19</v>
      </c>
      <c r="E17" t="s">
        <v>659</v>
      </c>
      <c r="F17" t="s">
        <v>25</v>
      </c>
      <c r="G17" t="s">
        <v>684</v>
      </c>
      <c r="H17">
        <v>3</v>
      </c>
      <c r="I17" t="s">
        <v>908</v>
      </c>
      <c r="J17" s="5">
        <v>45420</v>
      </c>
      <c r="K17" s="5">
        <v>45357</v>
      </c>
      <c r="L17" t="s">
        <v>69</v>
      </c>
      <c r="M17" t="s">
        <v>910</v>
      </c>
      <c r="N17" t="s">
        <v>934</v>
      </c>
      <c r="O17">
        <v>0</v>
      </c>
      <c r="P17" t="s">
        <v>920</v>
      </c>
    </row>
    <row r="18" spans="1:16" x14ac:dyDescent="0.3">
      <c r="A18">
        <v>1096</v>
      </c>
      <c r="B18" t="s">
        <v>22</v>
      </c>
      <c r="C18">
        <f t="shared" si="0"/>
        <v>0</v>
      </c>
      <c r="D18">
        <v>0</v>
      </c>
      <c r="E18" t="s">
        <v>24</v>
      </c>
      <c r="F18" t="s">
        <v>25</v>
      </c>
      <c r="G18" t="s">
        <v>685</v>
      </c>
      <c r="H18">
        <v>5</v>
      </c>
      <c r="I18" t="s">
        <v>908</v>
      </c>
      <c r="J18" s="5">
        <v>45345</v>
      </c>
      <c r="K18" s="5">
        <v>45456</v>
      </c>
      <c r="L18" t="s">
        <v>69</v>
      </c>
      <c r="M18" t="s">
        <v>910</v>
      </c>
      <c r="N18" t="s">
        <v>935</v>
      </c>
      <c r="O18">
        <v>0</v>
      </c>
      <c r="P18" t="s">
        <v>920</v>
      </c>
    </row>
    <row r="19" spans="1:16" x14ac:dyDescent="0.3">
      <c r="A19">
        <v>1305</v>
      </c>
      <c r="B19" t="s">
        <v>163</v>
      </c>
      <c r="C19">
        <f t="shared" si="0"/>
        <v>0</v>
      </c>
      <c r="D19">
        <v>0</v>
      </c>
      <c r="E19" t="s">
        <v>24</v>
      </c>
      <c r="F19" t="s">
        <v>156</v>
      </c>
      <c r="G19" t="s">
        <v>688</v>
      </c>
      <c r="H19">
        <v>5</v>
      </c>
      <c r="I19" t="s">
        <v>17</v>
      </c>
      <c r="J19" s="5">
        <v>45312</v>
      </c>
      <c r="K19" s="5">
        <v>45403</v>
      </c>
      <c r="L19" t="s">
        <v>69</v>
      </c>
      <c r="M19" t="s">
        <v>912</v>
      </c>
      <c r="N19" t="s">
        <v>936</v>
      </c>
      <c r="O19">
        <v>0</v>
      </c>
      <c r="P19" t="s">
        <v>920</v>
      </c>
    </row>
    <row r="20" spans="1:16" x14ac:dyDescent="0.3">
      <c r="A20">
        <v>1451</v>
      </c>
      <c r="B20" t="s">
        <v>22</v>
      </c>
      <c r="C20" t="b">
        <f t="shared" si="0"/>
        <v>0</v>
      </c>
      <c r="D20">
        <v>25</v>
      </c>
      <c r="E20" t="s">
        <v>659</v>
      </c>
      <c r="F20" t="s">
        <v>156</v>
      </c>
      <c r="G20" t="s">
        <v>690</v>
      </c>
      <c r="H20">
        <v>4</v>
      </c>
      <c r="I20" t="s">
        <v>28</v>
      </c>
      <c r="J20" s="5">
        <v>45427</v>
      </c>
      <c r="K20" s="5">
        <v>45401</v>
      </c>
      <c r="L20" t="s">
        <v>40</v>
      </c>
      <c r="M20" t="s">
        <v>912</v>
      </c>
      <c r="N20" t="s">
        <v>937</v>
      </c>
      <c r="O20">
        <v>1</v>
      </c>
      <c r="P20" t="s">
        <v>920</v>
      </c>
    </row>
    <row r="21" spans="1:16" x14ac:dyDescent="0.3">
      <c r="A21">
        <v>1002</v>
      </c>
      <c r="B21" t="s">
        <v>32</v>
      </c>
      <c r="C21" t="b">
        <f t="shared" si="0"/>
        <v>0</v>
      </c>
      <c r="D21">
        <v>22</v>
      </c>
      <c r="E21" t="s">
        <v>659</v>
      </c>
      <c r="F21" t="s">
        <v>25</v>
      </c>
      <c r="G21" t="s">
        <v>691</v>
      </c>
      <c r="H21">
        <v>4</v>
      </c>
      <c r="I21" t="s">
        <v>76</v>
      </c>
      <c r="J21" s="5">
        <v>45308</v>
      </c>
      <c r="K21" s="5">
        <v>45408</v>
      </c>
      <c r="L21" t="s">
        <v>69</v>
      </c>
      <c r="M21" t="s">
        <v>912</v>
      </c>
      <c r="N21" t="s">
        <v>938</v>
      </c>
      <c r="O21">
        <v>0</v>
      </c>
      <c r="P21" t="s">
        <v>920</v>
      </c>
    </row>
    <row r="22" spans="1:16" x14ac:dyDescent="0.3">
      <c r="A22">
        <v>1340</v>
      </c>
      <c r="B22" t="s">
        <v>155</v>
      </c>
      <c r="C22" t="b">
        <f t="shared" si="0"/>
        <v>0</v>
      </c>
      <c r="D22">
        <v>25</v>
      </c>
      <c r="E22" t="s">
        <v>55</v>
      </c>
      <c r="F22" t="s">
        <v>167</v>
      </c>
      <c r="G22" t="s">
        <v>692</v>
      </c>
      <c r="H22">
        <v>1</v>
      </c>
      <c r="I22" t="s">
        <v>28</v>
      </c>
      <c r="J22" s="5">
        <v>45505</v>
      </c>
      <c r="K22" s="5">
        <v>45405</v>
      </c>
      <c r="L22" t="s">
        <v>40</v>
      </c>
      <c r="M22" t="s">
        <v>913</v>
      </c>
      <c r="N22" t="s">
        <v>938</v>
      </c>
      <c r="O22">
        <v>1</v>
      </c>
      <c r="P22" t="s">
        <v>920</v>
      </c>
    </row>
    <row r="23" spans="1:16" x14ac:dyDescent="0.3">
      <c r="A23">
        <v>1039</v>
      </c>
      <c r="B23" t="s">
        <v>12</v>
      </c>
      <c r="C23" t="b">
        <f t="shared" si="0"/>
        <v>0</v>
      </c>
      <c r="D23">
        <v>19</v>
      </c>
      <c r="E23" t="s">
        <v>659</v>
      </c>
      <c r="F23" t="s">
        <v>25</v>
      </c>
      <c r="G23" t="s">
        <v>693</v>
      </c>
      <c r="H23">
        <v>4</v>
      </c>
      <c r="I23" t="s">
        <v>908</v>
      </c>
      <c r="J23" s="5">
        <v>45440</v>
      </c>
      <c r="K23" s="5">
        <v>45400</v>
      </c>
      <c r="L23" t="s">
        <v>69</v>
      </c>
      <c r="M23" t="s">
        <v>912</v>
      </c>
      <c r="N23" t="s">
        <v>939</v>
      </c>
      <c r="O23">
        <v>0</v>
      </c>
      <c r="P23" t="s">
        <v>920</v>
      </c>
    </row>
    <row r="24" spans="1:16" x14ac:dyDescent="0.3">
      <c r="A24">
        <v>1322</v>
      </c>
      <c r="B24" t="s">
        <v>136</v>
      </c>
      <c r="C24">
        <f t="shared" si="0"/>
        <v>0</v>
      </c>
      <c r="D24">
        <v>0</v>
      </c>
      <c r="E24" t="s">
        <v>24</v>
      </c>
      <c r="F24" t="s">
        <v>84</v>
      </c>
      <c r="G24" t="s">
        <v>694</v>
      </c>
      <c r="H24">
        <v>4</v>
      </c>
      <c r="I24" t="s">
        <v>17</v>
      </c>
      <c r="J24" s="5">
        <v>45384</v>
      </c>
      <c r="K24" s="5">
        <v>45311</v>
      </c>
      <c r="L24" t="s">
        <v>40</v>
      </c>
      <c r="M24" t="s">
        <v>910</v>
      </c>
      <c r="N24" t="s">
        <v>940</v>
      </c>
      <c r="O24">
        <v>1</v>
      </c>
      <c r="P24" t="s">
        <v>920</v>
      </c>
    </row>
    <row r="25" spans="1:16" x14ac:dyDescent="0.3">
      <c r="A25">
        <v>1176</v>
      </c>
      <c r="B25" t="s">
        <v>74</v>
      </c>
      <c r="C25" t="b">
        <f t="shared" si="0"/>
        <v>0</v>
      </c>
      <c r="D25">
        <v>22</v>
      </c>
      <c r="E25" t="s">
        <v>24</v>
      </c>
      <c r="F25" t="s">
        <v>25</v>
      </c>
      <c r="G25" t="s">
        <v>698</v>
      </c>
      <c r="H25">
        <v>4</v>
      </c>
      <c r="I25" t="s">
        <v>908</v>
      </c>
      <c r="J25" s="5">
        <v>45399</v>
      </c>
      <c r="K25" s="5">
        <v>45323</v>
      </c>
      <c r="L25" t="s">
        <v>69</v>
      </c>
      <c r="M25" t="s">
        <v>909</v>
      </c>
      <c r="N25" t="s">
        <v>941</v>
      </c>
      <c r="O25">
        <v>0</v>
      </c>
      <c r="P25" t="s">
        <v>920</v>
      </c>
    </row>
    <row r="26" spans="1:16" x14ac:dyDescent="0.3">
      <c r="A26">
        <v>1135</v>
      </c>
      <c r="B26" t="s">
        <v>32</v>
      </c>
      <c r="C26" t="b">
        <f t="shared" si="0"/>
        <v>0</v>
      </c>
      <c r="D26">
        <v>21</v>
      </c>
      <c r="E26" t="s">
        <v>55</v>
      </c>
      <c r="F26" t="s">
        <v>84</v>
      </c>
      <c r="G26" t="s">
        <v>699</v>
      </c>
      <c r="H26">
        <v>1</v>
      </c>
      <c r="I26" t="s">
        <v>28</v>
      </c>
      <c r="J26" s="5">
        <v>45311</v>
      </c>
      <c r="K26" s="5">
        <v>45429</v>
      </c>
      <c r="L26" t="s">
        <v>69</v>
      </c>
      <c r="M26" t="s">
        <v>912</v>
      </c>
      <c r="N26" t="s">
        <v>942</v>
      </c>
      <c r="O26">
        <v>0</v>
      </c>
      <c r="P26" t="s">
        <v>920</v>
      </c>
    </row>
    <row r="27" spans="1:16" x14ac:dyDescent="0.3">
      <c r="A27">
        <v>1361</v>
      </c>
      <c r="B27" t="s">
        <v>74</v>
      </c>
      <c r="C27" t="b">
        <f t="shared" si="0"/>
        <v>0</v>
      </c>
      <c r="D27">
        <v>25</v>
      </c>
      <c r="E27" t="s">
        <v>55</v>
      </c>
      <c r="F27" t="s">
        <v>25</v>
      </c>
      <c r="G27" t="s">
        <v>700</v>
      </c>
      <c r="H27">
        <v>5</v>
      </c>
      <c r="I27" t="s">
        <v>908</v>
      </c>
      <c r="J27" s="5">
        <v>45336</v>
      </c>
      <c r="K27" s="5">
        <v>45409</v>
      </c>
      <c r="L27" t="s">
        <v>40</v>
      </c>
      <c r="M27" t="s">
        <v>913</v>
      </c>
      <c r="N27" t="s">
        <v>940</v>
      </c>
      <c r="O27">
        <v>1</v>
      </c>
      <c r="P27" t="s">
        <v>920</v>
      </c>
    </row>
    <row r="28" spans="1:16" x14ac:dyDescent="0.3">
      <c r="A28">
        <v>1099</v>
      </c>
      <c r="B28" t="s">
        <v>155</v>
      </c>
      <c r="C28" t="b">
        <f t="shared" si="0"/>
        <v>0</v>
      </c>
      <c r="D28">
        <v>21</v>
      </c>
      <c r="E28" t="s">
        <v>24</v>
      </c>
      <c r="F28" t="s">
        <v>156</v>
      </c>
      <c r="G28" t="s">
        <v>701</v>
      </c>
      <c r="H28">
        <v>1</v>
      </c>
      <c r="I28" t="s">
        <v>28</v>
      </c>
      <c r="J28" s="5">
        <v>45309</v>
      </c>
      <c r="K28" s="5">
        <v>45569</v>
      </c>
      <c r="L28" t="s">
        <v>69</v>
      </c>
      <c r="M28" t="s">
        <v>912</v>
      </c>
      <c r="N28" t="s">
        <v>943</v>
      </c>
      <c r="O28">
        <v>0</v>
      </c>
      <c r="P28" t="s">
        <v>920</v>
      </c>
    </row>
    <row r="29" spans="1:16" x14ac:dyDescent="0.3">
      <c r="A29">
        <v>1380</v>
      </c>
      <c r="B29" t="s">
        <v>107</v>
      </c>
      <c r="C29" t="b">
        <f t="shared" si="0"/>
        <v>0</v>
      </c>
      <c r="D29">
        <v>25</v>
      </c>
      <c r="E29" t="s">
        <v>55</v>
      </c>
      <c r="F29" t="s">
        <v>156</v>
      </c>
      <c r="G29" t="s">
        <v>702</v>
      </c>
      <c r="H29">
        <v>5</v>
      </c>
      <c r="I29" t="s">
        <v>76</v>
      </c>
      <c r="J29" s="5">
        <v>45456</v>
      </c>
      <c r="K29" s="5">
        <v>45359</v>
      </c>
      <c r="L29" t="s">
        <v>40</v>
      </c>
      <c r="M29" t="s">
        <v>909</v>
      </c>
      <c r="N29" t="s">
        <v>944</v>
      </c>
      <c r="O29">
        <v>1</v>
      </c>
      <c r="P29" t="s">
        <v>920</v>
      </c>
    </row>
    <row r="30" spans="1:16" x14ac:dyDescent="0.3">
      <c r="A30">
        <v>1348</v>
      </c>
      <c r="B30" t="s">
        <v>163</v>
      </c>
      <c r="C30" t="b">
        <f t="shared" si="0"/>
        <v>0</v>
      </c>
      <c r="D30">
        <v>18</v>
      </c>
      <c r="E30" t="s">
        <v>24</v>
      </c>
      <c r="F30" t="s">
        <v>25</v>
      </c>
      <c r="G30" t="s">
        <v>703</v>
      </c>
      <c r="H30">
        <v>4</v>
      </c>
      <c r="I30" t="s">
        <v>17</v>
      </c>
      <c r="J30" s="5">
        <v>45327</v>
      </c>
      <c r="K30" s="5">
        <v>45328</v>
      </c>
      <c r="L30" t="s">
        <v>914</v>
      </c>
      <c r="M30" t="s">
        <v>911</v>
      </c>
      <c r="N30" t="s">
        <v>50</v>
      </c>
      <c r="O30">
        <v>0</v>
      </c>
      <c r="P30" t="s">
        <v>920</v>
      </c>
    </row>
    <row r="31" spans="1:16" x14ac:dyDescent="0.3">
      <c r="A31">
        <v>1180</v>
      </c>
      <c r="B31" t="s">
        <v>74</v>
      </c>
      <c r="C31" t="b">
        <f t="shared" si="0"/>
        <v>0</v>
      </c>
      <c r="D31">
        <v>25</v>
      </c>
      <c r="E31" t="s">
        <v>24</v>
      </c>
      <c r="F31" t="s">
        <v>167</v>
      </c>
      <c r="G31" t="s">
        <v>704</v>
      </c>
      <c r="H31">
        <v>5</v>
      </c>
      <c r="I31" t="s">
        <v>908</v>
      </c>
      <c r="J31" s="5">
        <v>45429</v>
      </c>
      <c r="K31" s="5">
        <v>45367</v>
      </c>
      <c r="L31" t="s">
        <v>914</v>
      </c>
      <c r="M31" t="s">
        <v>911</v>
      </c>
      <c r="N31" t="s">
        <v>933</v>
      </c>
      <c r="O31">
        <v>0</v>
      </c>
      <c r="P31" t="s">
        <v>920</v>
      </c>
    </row>
    <row r="32" spans="1:16" x14ac:dyDescent="0.3">
      <c r="A32">
        <v>1353</v>
      </c>
      <c r="B32" t="s">
        <v>22</v>
      </c>
      <c r="C32" t="b">
        <f t="shared" si="0"/>
        <v>0</v>
      </c>
      <c r="D32">
        <v>19</v>
      </c>
      <c r="E32" t="s">
        <v>24</v>
      </c>
      <c r="F32" t="s">
        <v>84</v>
      </c>
      <c r="G32" t="s">
        <v>706</v>
      </c>
      <c r="H32">
        <v>3</v>
      </c>
      <c r="I32" t="s">
        <v>17</v>
      </c>
      <c r="J32" s="5">
        <v>45295</v>
      </c>
      <c r="K32" s="5">
        <v>45327</v>
      </c>
      <c r="L32" t="s">
        <v>40</v>
      </c>
      <c r="M32" t="s">
        <v>911</v>
      </c>
      <c r="N32" t="s">
        <v>945</v>
      </c>
      <c r="O32">
        <v>1</v>
      </c>
      <c r="P32" t="s">
        <v>920</v>
      </c>
    </row>
    <row r="33" spans="1:16" x14ac:dyDescent="0.3">
      <c r="A33">
        <v>1213</v>
      </c>
      <c r="B33" t="s">
        <v>163</v>
      </c>
      <c r="C33" t="b">
        <f t="shared" si="0"/>
        <v>0</v>
      </c>
      <c r="D33">
        <v>24</v>
      </c>
      <c r="E33" t="s">
        <v>24</v>
      </c>
      <c r="F33" t="s">
        <v>84</v>
      </c>
      <c r="G33" t="s">
        <v>707</v>
      </c>
      <c r="H33">
        <v>0</v>
      </c>
      <c r="I33" t="s">
        <v>28</v>
      </c>
      <c r="J33" s="5">
        <v>45308</v>
      </c>
      <c r="K33" s="5">
        <v>45325</v>
      </c>
      <c r="L33" t="s">
        <v>20</v>
      </c>
      <c r="M33" t="s">
        <v>912</v>
      </c>
      <c r="N33" t="s">
        <v>946</v>
      </c>
      <c r="O33">
        <v>0</v>
      </c>
      <c r="P33" t="s">
        <v>920</v>
      </c>
    </row>
    <row r="34" spans="1:16" x14ac:dyDescent="0.3">
      <c r="A34">
        <v>1411</v>
      </c>
      <c r="B34" t="s">
        <v>12</v>
      </c>
      <c r="C34" t="b">
        <f t="shared" ref="C34:C65" si="1">IF(OR(D34=0, D34&lt;0, D34&gt;80, ISBLANK(D34)), D34)</f>
        <v>0</v>
      </c>
      <c r="D34">
        <v>18</v>
      </c>
      <c r="E34" t="s">
        <v>55</v>
      </c>
      <c r="F34" t="s">
        <v>84</v>
      </c>
      <c r="G34" t="s">
        <v>710</v>
      </c>
      <c r="H34">
        <v>1</v>
      </c>
      <c r="I34" t="s">
        <v>908</v>
      </c>
      <c r="J34" s="5">
        <v>45337</v>
      </c>
      <c r="K34" s="5">
        <v>45387</v>
      </c>
      <c r="L34" t="s">
        <v>40</v>
      </c>
      <c r="M34" t="s">
        <v>909</v>
      </c>
      <c r="N34" t="s">
        <v>947</v>
      </c>
      <c r="O34">
        <v>1</v>
      </c>
      <c r="P34" t="s">
        <v>920</v>
      </c>
    </row>
    <row r="35" spans="1:16" x14ac:dyDescent="0.3">
      <c r="A35">
        <v>1290</v>
      </c>
      <c r="B35" t="s">
        <v>22</v>
      </c>
      <c r="C35">
        <f t="shared" si="1"/>
        <v>0</v>
      </c>
      <c r="D35">
        <v>0</v>
      </c>
      <c r="E35" t="s">
        <v>55</v>
      </c>
      <c r="F35" t="s">
        <v>25</v>
      </c>
      <c r="G35" t="s">
        <v>711</v>
      </c>
      <c r="H35">
        <v>0</v>
      </c>
      <c r="I35" t="s">
        <v>28</v>
      </c>
      <c r="J35" s="5">
        <v>45413</v>
      </c>
      <c r="K35" s="5">
        <v>45346</v>
      </c>
      <c r="L35" t="s">
        <v>40</v>
      </c>
      <c r="M35" t="s">
        <v>912</v>
      </c>
      <c r="N35" t="s">
        <v>948</v>
      </c>
      <c r="O35">
        <v>1</v>
      </c>
      <c r="P35" t="s">
        <v>920</v>
      </c>
    </row>
    <row r="36" spans="1:16" x14ac:dyDescent="0.3">
      <c r="A36">
        <v>1481</v>
      </c>
      <c r="B36" t="s">
        <v>107</v>
      </c>
      <c r="C36" t="b">
        <f t="shared" si="1"/>
        <v>0</v>
      </c>
      <c r="D36">
        <v>23</v>
      </c>
      <c r="E36" t="s">
        <v>55</v>
      </c>
      <c r="F36" t="s">
        <v>156</v>
      </c>
      <c r="G36" t="s">
        <v>712</v>
      </c>
      <c r="H36">
        <v>4</v>
      </c>
      <c r="I36" t="s">
        <v>17</v>
      </c>
      <c r="J36" s="5">
        <v>45450</v>
      </c>
      <c r="K36" s="5">
        <v>45299</v>
      </c>
      <c r="L36" t="s">
        <v>20</v>
      </c>
      <c r="M36" t="s">
        <v>911</v>
      </c>
      <c r="N36" t="s">
        <v>949</v>
      </c>
      <c r="O36">
        <v>0</v>
      </c>
      <c r="P36" t="s">
        <v>920</v>
      </c>
    </row>
    <row r="37" spans="1:16" x14ac:dyDescent="0.3">
      <c r="A37">
        <v>1076</v>
      </c>
      <c r="B37" t="s">
        <v>120</v>
      </c>
      <c r="C37" t="b">
        <f t="shared" si="1"/>
        <v>0</v>
      </c>
      <c r="D37">
        <v>21</v>
      </c>
      <c r="E37" t="s">
        <v>659</v>
      </c>
      <c r="F37" t="s">
        <v>84</v>
      </c>
      <c r="G37" t="s">
        <v>713</v>
      </c>
      <c r="H37">
        <v>2</v>
      </c>
      <c r="I37" t="s">
        <v>908</v>
      </c>
      <c r="J37" s="5">
        <v>45318</v>
      </c>
      <c r="K37" s="5">
        <v>45401</v>
      </c>
      <c r="L37" t="s">
        <v>40</v>
      </c>
      <c r="M37" t="s">
        <v>911</v>
      </c>
      <c r="N37" t="s">
        <v>950</v>
      </c>
      <c r="O37">
        <v>1</v>
      </c>
      <c r="P37" t="s">
        <v>920</v>
      </c>
    </row>
    <row r="38" spans="1:16" x14ac:dyDescent="0.3">
      <c r="A38">
        <v>1387</v>
      </c>
      <c r="B38" t="s">
        <v>47</v>
      </c>
      <c r="C38" t="b">
        <f t="shared" si="1"/>
        <v>0</v>
      </c>
      <c r="D38">
        <v>22</v>
      </c>
      <c r="E38" t="s">
        <v>55</v>
      </c>
      <c r="F38" t="s">
        <v>156</v>
      </c>
      <c r="G38" t="s">
        <v>715</v>
      </c>
      <c r="H38">
        <v>2</v>
      </c>
      <c r="I38" t="s">
        <v>28</v>
      </c>
      <c r="J38" s="5">
        <v>45455</v>
      </c>
      <c r="K38" s="5">
        <v>45444</v>
      </c>
      <c r="L38" t="s">
        <v>40</v>
      </c>
      <c r="M38" t="s">
        <v>911</v>
      </c>
      <c r="N38" t="s">
        <v>951</v>
      </c>
      <c r="O38">
        <v>1</v>
      </c>
      <c r="P38" t="s">
        <v>920</v>
      </c>
    </row>
    <row r="39" spans="1:16" x14ac:dyDescent="0.3">
      <c r="A39">
        <v>1106</v>
      </c>
      <c r="B39" t="s">
        <v>47</v>
      </c>
      <c r="C39" t="b">
        <f t="shared" si="1"/>
        <v>0</v>
      </c>
      <c r="D39">
        <v>21</v>
      </c>
      <c r="E39" t="s">
        <v>24</v>
      </c>
      <c r="F39" t="s">
        <v>84</v>
      </c>
      <c r="G39" t="s">
        <v>716</v>
      </c>
      <c r="H39">
        <v>5</v>
      </c>
      <c r="I39" t="s">
        <v>908</v>
      </c>
      <c r="J39" s="5">
        <v>45386</v>
      </c>
      <c r="K39" s="5">
        <v>45348</v>
      </c>
      <c r="L39" t="s">
        <v>20</v>
      </c>
      <c r="M39" t="s">
        <v>910</v>
      </c>
      <c r="N39" t="s">
        <v>952</v>
      </c>
      <c r="O39">
        <v>0</v>
      </c>
      <c r="P39" t="s">
        <v>920</v>
      </c>
    </row>
    <row r="40" spans="1:16" x14ac:dyDescent="0.3">
      <c r="A40">
        <v>1325</v>
      </c>
      <c r="B40" t="s">
        <v>47</v>
      </c>
      <c r="C40" t="b">
        <f t="shared" si="1"/>
        <v>0</v>
      </c>
      <c r="D40">
        <v>21</v>
      </c>
      <c r="E40" t="s">
        <v>55</v>
      </c>
      <c r="F40" t="s">
        <v>156</v>
      </c>
      <c r="G40" t="s">
        <v>717</v>
      </c>
      <c r="H40">
        <v>5</v>
      </c>
      <c r="I40" t="s">
        <v>17</v>
      </c>
      <c r="J40" s="5">
        <v>45429</v>
      </c>
      <c r="K40" s="5">
        <v>45365</v>
      </c>
      <c r="L40" t="s">
        <v>40</v>
      </c>
      <c r="M40" t="s">
        <v>911</v>
      </c>
      <c r="N40" t="s">
        <v>953</v>
      </c>
      <c r="O40">
        <v>1</v>
      </c>
      <c r="P40" t="s">
        <v>920</v>
      </c>
    </row>
    <row r="41" spans="1:16" x14ac:dyDescent="0.3">
      <c r="A41">
        <v>1064</v>
      </c>
      <c r="B41" t="s">
        <v>163</v>
      </c>
      <c r="C41" t="b">
        <f t="shared" si="1"/>
        <v>0</v>
      </c>
      <c r="D41">
        <v>22</v>
      </c>
      <c r="E41" t="s">
        <v>659</v>
      </c>
      <c r="F41" t="s">
        <v>25</v>
      </c>
      <c r="G41" t="s">
        <v>718</v>
      </c>
      <c r="H41">
        <v>3</v>
      </c>
      <c r="I41" t="s">
        <v>76</v>
      </c>
      <c r="J41" s="5">
        <v>45444</v>
      </c>
      <c r="K41" s="5">
        <v>45476</v>
      </c>
      <c r="L41" t="s">
        <v>40</v>
      </c>
      <c r="M41" t="s">
        <v>910</v>
      </c>
      <c r="N41" t="s">
        <v>945</v>
      </c>
      <c r="O41">
        <v>1</v>
      </c>
      <c r="P41" t="s">
        <v>920</v>
      </c>
    </row>
    <row r="42" spans="1:16" x14ac:dyDescent="0.3">
      <c r="A42">
        <v>1331</v>
      </c>
      <c r="B42" t="s">
        <v>74</v>
      </c>
      <c r="C42" t="b">
        <f t="shared" si="1"/>
        <v>0</v>
      </c>
      <c r="D42">
        <v>25</v>
      </c>
      <c r="E42" t="s">
        <v>24</v>
      </c>
      <c r="F42" t="s">
        <v>84</v>
      </c>
      <c r="G42" t="s">
        <v>719</v>
      </c>
      <c r="H42">
        <v>3</v>
      </c>
      <c r="I42" t="s">
        <v>76</v>
      </c>
      <c r="J42" s="5">
        <v>45429</v>
      </c>
      <c r="K42" s="5">
        <v>45410</v>
      </c>
      <c r="L42" t="s">
        <v>40</v>
      </c>
      <c r="M42" t="s">
        <v>909</v>
      </c>
      <c r="N42" t="s">
        <v>922</v>
      </c>
      <c r="O42">
        <v>1</v>
      </c>
      <c r="P42" t="s">
        <v>920</v>
      </c>
    </row>
    <row r="43" spans="1:16" x14ac:dyDescent="0.3">
      <c r="A43">
        <v>1418</v>
      </c>
      <c r="B43" t="s">
        <v>117</v>
      </c>
      <c r="C43" t="b">
        <f t="shared" si="1"/>
        <v>0</v>
      </c>
      <c r="D43">
        <v>19</v>
      </c>
      <c r="E43" t="s">
        <v>55</v>
      </c>
      <c r="F43" t="s">
        <v>84</v>
      </c>
      <c r="G43" t="s">
        <v>720</v>
      </c>
      <c r="H43">
        <v>5</v>
      </c>
      <c r="I43" t="s">
        <v>28</v>
      </c>
      <c r="J43" s="5">
        <v>45427</v>
      </c>
      <c r="K43" s="5">
        <v>45402</v>
      </c>
      <c r="L43" t="s">
        <v>20</v>
      </c>
      <c r="M43" t="s">
        <v>909</v>
      </c>
      <c r="N43" t="s">
        <v>954</v>
      </c>
      <c r="O43">
        <v>0</v>
      </c>
      <c r="P43" t="s">
        <v>920</v>
      </c>
    </row>
    <row r="44" spans="1:16" x14ac:dyDescent="0.3">
      <c r="A44">
        <v>1314</v>
      </c>
      <c r="B44" t="s">
        <v>47</v>
      </c>
      <c r="C44" t="b">
        <f t="shared" si="1"/>
        <v>0</v>
      </c>
      <c r="D44">
        <v>19</v>
      </c>
      <c r="E44" t="s">
        <v>659</v>
      </c>
      <c r="F44" t="s">
        <v>25</v>
      </c>
      <c r="G44" t="s">
        <v>721</v>
      </c>
      <c r="H44">
        <v>5</v>
      </c>
      <c r="I44" t="s">
        <v>28</v>
      </c>
      <c r="J44" s="5">
        <v>45377</v>
      </c>
      <c r="K44" s="5">
        <v>45298</v>
      </c>
      <c r="L44" t="s">
        <v>40</v>
      </c>
      <c r="M44" t="s">
        <v>909</v>
      </c>
      <c r="N44" t="s">
        <v>924</v>
      </c>
      <c r="O44">
        <v>1</v>
      </c>
      <c r="P44" t="s">
        <v>920</v>
      </c>
    </row>
    <row r="45" spans="1:16" x14ac:dyDescent="0.3">
      <c r="A45">
        <v>1394</v>
      </c>
      <c r="B45" t="s">
        <v>163</v>
      </c>
      <c r="C45" t="b">
        <f t="shared" si="1"/>
        <v>0</v>
      </c>
      <c r="D45">
        <v>18</v>
      </c>
      <c r="E45" t="s">
        <v>24</v>
      </c>
      <c r="F45" t="s">
        <v>84</v>
      </c>
      <c r="G45" t="s">
        <v>722</v>
      </c>
      <c r="H45">
        <v>4</v>
      </c>
      <c r="I45" t="s">
        <v>28</v>
      </c>
      <c r="J45" s="5">
        <v>45628</v>
      </c>
      <c r="K45" s="5">
        <v>45300</v>
      </c>
      <c r="L45" t="s">
        <v>40</v>
      </c>
      <c r="M45" t="s">
        <v>909</v>
      </c>
      <c r="N45" t="s">
        <v>955</v>
      </c>
      <c r="O45">
        <v>1</v>
      </c>
      <c r="P45" t="s">
        <v>920</v>
      </c>
    </row>
    <row r="46" spans="1:16" x14ac:dyDescent="0.3">
      <c r="A46">
        <v>1278</v>
      </c>
      <c r="B46" t="s">
        <v>74</v>
      </c>
      <c r="C46" t="b">
        <f t="shared" si="1"/>
        <v>0</v>
      </c>
      <c r="D46">
        <v>19</v>
      </c>
      <c r="E46" t="s">
        <v>55</v>
      </c>
      <c r="F46" t="s">
        <v>156</v>
      </c>
      <c r="G46" t="s">
        <v>723</v>
      </c>
      <c r="H46">
        <v>5</v>
      </c>
      <c r="I46" t="s">
        <v>17</v>
      </c>
      <c r="J46" s="5">
        <v>45354</v>
      </c>
      <c r="K46" s="5">
        <v>45506</v>
      </c>
      <c r="L46" t="s">
        <v>914</v>
      </c>
      <c r="M46" t="s">
        <v>910</v>
      </c>
      <c r="N46" t="s">
        <v>956</v>
      </c>
      <c r="O46">
        <v>0</v>
      </c>
      <c r="P46" t="s">
        <v>920</v>
      </c>
    </row>
    <row r="47" spans="1:16" x14ac:dyDescent="0.3">
      <c r="A47">
        <v>1205</v>
      </c>
      <c r="B47" t="s">
        <v>155</v>
      </c>
      <c r="C47" t="b">
        <f t="shared" si="1"/>
        <v>0</v>
      </c>
      <c r="D47">
        <v>22</v>
      </c>
      <c r="E47" t="s">
        <v>55</v>
      </c>
      <c r="F47" t="s">
        <v>84</v>
      </c>
      <c r="G47" t="s">
        <v>724</v>
      </c>
      <c r="H47">
        <v>5</v>
      </c>
      <c r="I47" t="s">
        <v>17</v>
      </c>
      <c r="J47" s="5">
        <v>45372</v>
      </c>
      <c r="K47" s="5">
        <v>45339</v>
      </c>
      <c r="L47" t="s">
        <v>40</v>
      </c>
      <c r="M47" t="s">
        <v>911</v>
      </c>
      <c r="N47" t="s">
        <v>957</v>
      </c>
      <c r="O47">
        <v>1</v>
      </c>
      <c r="P47" t="s">
        <v>920</v>
      </c>
    </row>
    <row r="48" spans="1:16" x14ac:dyDescent="0.3">
      <c r="A48">
        <v>1146</v>
      </c>
      <c r="B48" t="s">
        <v>117</v>
      </c>
      <c r="C48" t="b">
        <f t="shared" si="1"/>
        <v>0</v>
      </c>
      <c r="D48">
        <v>25</v>
      </c>
      <c r="E48" t="s">
        <v>659</v>
      </c>
      <c r="F48" t="s">
        <v>84</v>
      </c>
      <c r="G48" t="s">
        <v>725</v>
      </c>
      <c r="H48">
        <v>0</v>
      </c>
      <c r="I48" t="s">
        <v>76</v>
      </c>
      <c r="J48" s="5">
        <v>45448</v>
      </c>
      <c r="K48" s="5">
        <v>45383</v>
      </c>
      <c r="L48" t="s">
        <v>69</v>
      </c>
      <c r="M48" t="s">
        <v>913</v>
      </c>
      <c r="N48" t="s">
        <v>958</v>
      </c>
      <c r="O48">
        <v>0</v>
      </c>
      <c r="P48" t="s">
        <v>920</v>
      </c>
    </row>
    <row r="49" spans="1:16" x14ac:dyDescent="0.3">
      <c r="A49">
        <v>1484</v>
      </c>
      <c r="B49" t="s">
        <v>107</v>
      </c>
      <c r="C49" t="b">
        <f t="shared" si="1"/>
        <v>0</v>
      </c>
      <c r="D49">
        <v>20</v>
      </c>
      <c r="E49" t="s">
        <v>55</v>
      </c>
      <c r="F49" t="s">
        <v>25</v>
      </c>
      <c r="G49" t="s">
        <v>726</v>
      </c>
      <c r="H49">
        <v>5</v>
      </c>
      <c r="I49" t="s">
        <v>17</v>
      </c>
      <c r="J49" s="5">
        <v>45376</v>
      </c>
      <c r="K49" s="5">
        <v>45444</v>
      </c>
      <c r="L49" t="s">
        <v>914</v>
      </c>
      <c r="M49" t="s">
        <v>913</v>
      </c>
      <c r="N49" t="s">
        <v>959</v>
      </c>
      <c r="O49">
        <v>0</v>
      </c>
      <c r="P49" t="s">
        <v>920</v>
      </c>
    </row>
    <row r="50" spans="1:16" x14ac:dyDescent="0.3">
      <c r="A50">
        <v>1271</v>
      </c>
      <c r="B50" t="s">
        <v>22</v>
      </c>
      <c r="C50">
        <f t="shared" si="1"/>
        <v>0</v>
      </c>
      <c r="D50">
        <v>0</v>
      </c>
      <c r="E50" t="s">
        <v>55</v>
      </c>
      <c r="F50" t="s">
        <v>84</v>
      </c>
      <c r="G50" t="s">
        <v>727</v>
      </c>
      <c r="H50">
        <v>5</v>
      </c>
      <c r="I50" t="s">
        <v>28</v>
      </c>
      <c r="J50" s="5">
        <v>45295</v>
      </c>
      <c r="K50" s="5">
        <v>45566</v>
      </c>
      <c r="L50" t="s">
        <v>40</v>
      </c>
      <c r="M50" t="s">
        <v>913</v>
      </c>
      <c r="N50" t="s">
        <v>960</v>
      </c>
      <c r="O50">
        <v>1</v>
      </c>
      <c r="P50" t="s">
        <v>920</v>
      </c>
    </row>
    <row r="51" spans="1:16" x14ac:dyDescent="0.3">
      <c r="A51">
        <v>1491</v>
      </c>
      <c r="B51" t="s">
        <v>22</v>
      </c>
      <c r="C51">
        <f t="shared" si="1"/>
        <v>0</v>
      </c>
      <c r="D51">
        <v>0</v>
      </c>
      <c r="E51" t="s">
        <v>659</v>
      </c>
      <c r="F51" t="s">
        <v>25</v>
      </c>
      <c r="G51" t="s">
        <v>728</v>
      </c>
      <c r="H51">
        <v>4</v>
      </c>
      <c r="I51" t="s">
        <v>28</v>
      </c>
      <c r="J51" s="5">
        <v>45414</v>
      </c>
      <c r="K51" s="5">
        <v>45353</v>
      </c>
      <c r="L51" t="s">
        <v>40</v>
      </c>
      <c r="M51" t="s">
        <v>909</v>
      </c>
      <c r="N51" t="s">
        <v>961</v>
      </c>
      <c r="O51">
        <v>1</v>
      </c>
      <c r="P51" t="s">
        <v>920</v>
      </c>
    </row>
    <row r="52" spans="1:16" x14ac:dyDescent="0.3">
      <c r="A52">
        <v>1411</v>
      </c>
      <c r="B52" t="s">
        <v>22</v>
      </c>
      <c r="C52">
        <f t="shared" si="1"/>
        <v>0</v>
      </c>
      <c r="D52">
        <v>0</v>
      </c>
      <c r="E52" t="s">
        <v>55</v>
      </c>
      <c r="F52" t="s">
        <v>25</v>
      </c>
      <c r="G52" t="s">
        <v>729</v>
      </c>
      <c r="H52">
        <v>0</v>
      </c>
      <c r="I52" t="s">
        <v>908</v>
      </c>
      <c r="J52" s="5">
        <v>45417</v>
      </c>
      <c r="K52" s="5">
        <v>45340</v>
      </c>
      <c r="L52" t="s">
        <v>40</v>
      </c>
      <c r="M52" t="s">
        <v>911</v>
      </c>
      <c r="N52" t="s">
        <v>962</v>
      </c>
      <c r="O52">
        <v>1</v>
      </c>
      <c r="P52" t="s">
        <v>920</v>
      </c>
    </row>
    <row r="53" spans="1:16" x14ac:dyDescent="0.3">
      <c r="A53">
        <v>1158</v>
      </c>
      <c r="B53" t="s">
        <v>74</v>
      </c>
      <c r="C53" t="b">
        <f t="shared" si="1"/>
        <v>0</v>
      </c>
      <c r="D53">
        <v>21</v>
      </c>
      <c r="E53" t="s">
        <v>659</v>
      </c>
      <c r="F53" t="s">
        <v>167</v>
      </c>
      <c r="G53" t="s">
        <v>732</v>
      </c>
      <c r="H53">
        <v>0</v>
      </c>
      <c r="I53" t="s">
        <v>17</v>
      </c>
      <c r="J53" s="5">
        <v>45379</v>
      </c>
      <c r="K53" s="5">
        <v>45471</v>
      </c>
      <c r="L53" t="s">
        <v>40</v>
      </c>
      <c r="M53" t="s">
        <v>910</v>
      </c>
      <c r="N53" t="s">
        <v>963</v>
      </c>
      <c r="O53">
        <v>1</v>
      </c>
      <c r="P53" t="s">
        <v>920</v>
      </c>
    </row>
    <row r="54" spans="1:16" x14ac:dyDescent="0.3">
      <c r="A54">
        <v>1180</v>
      </c>
      <c r="B54" t="s">
        <v>22</v>
      </c>
      <c r="C54" t="b">
        <f t="shared" si="1"/>
        <v>0</v>
      </c>
      <c r="D54">
        <v>22</v>
      </c>
      <c r="E54" t="s">
        <v>55</v>
      </c>
      <c r="F54" t="s">
        <v>25</v>
      </c>
      <c r="G54" t="s">
        <v>733</v>
      </c>
      <c r="H54">
        <v>4</v>
      </c>
      <c r="I54" t="s">
        <v>76</v>
      </c>
      <c r="J54" s="5">
        <v>45387</v>
      </c>
      <c r="K54" s="5">
        <v>45448</v>
      </c>
      <c r="L54" t="s">
        <v>40</v>
      </c>
      <c r="M54" t="s">
        <v>913</v>
      </c>
      <c r="N54" t="s">
        <v>961</v>
      </c>
      <c r="O54">
        <v>1</v>
      </c>
      <c r="P54" t="s">
        <v>920</v>
      </c>
    </row>
    <row r="55" spans="1:16" x14ac:dyDescent="0.3">
      <c r="A55">
        <v>1070</v>
      </c>
      <c r="B55" t="s">
        <v>107</v>
      </c>
      <c r="C55" t="b">
        <f t="shared" si="1"/>
        <v>0</v>
      </c>
      <c r="D55">
        <v>22</v>
      </c>
      <c r="E55" t="s">
        <v>24</v>
      </c>
      <c r="F55" t="s">
        <v>167</v>
      </c>
      <c r="G55" t="s">
        <v>734</v>
      </c>
      <c r="H55">
        <v>5</v>
      </c>
      <c r="I55" t="s">
        <v>17</v>
      </c>
      <c r="J55" s="5">
        <v>45304</v>
      </c>
      <c r="K55" s="5">
        <v>45477</v>
      </c>
      <c r="L55" t="s">
        <v>40</v>
      </c>
      <c r="M55" t="s">
        <v>911</v>
      </c>
      <c r="N55" t="s">
        <v>964</v>
      </c>
      <c r="O55">
        <v>1</v>
      </c>
      <c r="P55" t="s">
        <v>920</v>
      </c>
    </row>
    <row r="56" spans="1:16" x14ac:dyDescent="0.3">
      <c r="A56">
        <v>1365</v>
      </c>
      <c r="B56" t="s">
        <v>22</v>
      </c>
      <c r="C56" t="b">
        <f t="shared" si="1"/>
        <v>0</v>
      </c>
      <c r="D56">
        <v>24</v>
      </c>
      <c r="E56" t="s">
        <v>659</v>
      </c>
      <c r="F56" t="s">
        <v>156</v>
      </c>
      <c r="G56" t="s">
        <v>735</v>
      </c>
      <c r="H56">
        <v>1</v>
      </c>
      <c r="I56" t="s">
        <v>908</v>
      </c>
      <c r="J56" s="5">
        <v>45445</v>
      </c>
      <c r="K56" s="5">
        <v>45374</v>
      </c>
      <c r="L56" t="s">
        <v>914</v>
      </c>
      <c r="M56" t="s">
        <v>909</v>
      </c>
      <c r="N56" t="s">
        <v>965</v>
      </c>
      <c r="O56">
        <v>0</v>
      </c>
      <c r="P56" t="s">
        <v>920</v>
      </c>
    </row>
    <row r="57" spans="1:16" x14ac:dyDescent="0.3">
      <c r="A57">
        <v>1371</v>
      </c>
      <c r="B57" t="s">
        <v>155</v>
      </c>
      <c r="C57" t="b">
        <f t="shared" si="1"/>
        <v>0</v>
      </c>
      <c r="D57">
        <v>20</v>
      </c>
      <c r="E57" t="s">
        <v>24</v>
      </c>
      <c r="F57" t="s">
        <v>84</v>
      </c>
      <c r="G57" t="s">
        <v>736</v>
      </c>
      <c r="H57">
        <v>2</v>
      </c>
      <c r="I57" t="s">
        <v>76</v>
      </c>
      <c r="J57" s="5">
        <v>45373</v>
      </c>
      <c r="K57" s="5">
        <v>45465</v>
      </c>
      <c r="L57" t="s">
        <v>40</v>
      </c>
      <c r="M57" t="s">
        <v>913</v>
      </c>
      <c r="N57" t="s">
        <v>963</v>
      </c>
      <c r="O57">
        <v>1</v>
      </c>
      <c r="P57" t="s">
        <v>920</v>
      </c>
    </row>
    <row r="58" spans="1:16" x14ac:dyDescent="0.3">
      <c r="A58">
        <v>1208</v>
      </c>
      <c r="B58" t="s">
        <v>47</v>
      </c>
      <c r="C58" t="b">
        <f t="shared" si="1"/>
        <v>0</v>
      </c>
      <c r="D58">
        <v>25</v>
      </c>
      <c r="E58" t="s">
        <v>659</v>
      </c>
      <c r="F58" t="s">
        <v>84</v>
      </c>
      <c r="G58" t="s">
        <v>738</v>
      </c>
      <c r="H58">
        <v>1</v>
      </c>
      <c r="I58" t="s">
        <v>28</v>
      </c>
      <c r="J58" s="5">
        <v>45342</v>
      </c>
      <c r="K58" s="5">
        <v>45369</v>
      </c>
      <c r="L58" t="s">
        <v>40</v>
      </c>
      <c r="M58" t="s">
        <v>913</v>
      </c>
      <c r="N58" t="s">
        <v>966</v>
      </c>
      <c r="O58">
        <v>1</v>
      </c>
      <c r="P58" t="s">
        <v>920</v>
      </c>
    </row>
    <row r="59" spans="1:16" x14ac:dyDescent="0.3">
      <c r="A59">
        <v>1390</v>
      </c>
      <c r="B59" t="s">
        <v>47</v>
      </c>
      <c r="C59" t="b">
        <f t="shared" si="1"/>
        <v>0</v>
      </c>
      <c r="D59">
        <v>25</v>
      </c>
      <c r="E59" t="s">
        <v>24</v>
      </c>
      <c r="F59" t="s">
        <v>84</v>
      </c>
      <c r="G59" t="s">
        <v>739</v>
      </c>
      <c r="H59">
        <v>5</v>
      </c>
      <c r="I59" t="s">
        <v>908</v>
      </c>
      <c r="J59" s="5">
        <v>45357</v>
      </c>
      <c r="K59" s="5">
        <v>45319</v>
      </c>
      <c r="L59" t="s">
        <v>40</v>
      </c>
      <c r="M59" t="s">
        <v>911</v>
      </c>
      <c r="N59" t="s">
        <v>952</v>
      </c>
      <c r="O59">
        <v>1</v>
      </c>
      <c r="P59" t="s">
        <v>920</v>
      </c>
    </row>
    <row r="60" spans="1:16" x14ac:dyDescent="0.3">
      <c r="A60">
        <v>1255</v>
      </c>
      <c r="B60" t="s">
        <v>74</v>
      </c>
      <c r="C60">
        <f t="shared" si="1"/>
        <v>0</v>
      </c>
      <c r="D60">
        <v>0</v>
      </c>
      <c r="E60" t="s">
        <v>24</v>
      </c>
      <c r="F60" t="s">
        <v>156</v>
      </c>
      <c r="G60" t="s">
        <v>741</v>
      </c>
      <c r="H60">
        <v>1</v>
      </c>
      <c r="I60" t="s">
        <v>908</v>
      </c>
      <c r="J60" s="5">
        <v>45466</v>
      </c>
      <c r="K60" s="5">
        <v>45467</v>
      </c>
      <c r="L60" t="s">
        <v>20</v>
      </c>
      <c r="M60" t="s">
        <v>910</v>
      </c>
      <c r="N60" t="s">
        <v>50</v>
      </c>
      <c r="O60">
        <v>0</v>
      </c>
      <c r="P60" t="s">
        <v>920</v>
      </c>
    </row>
    <row r="61" spans="1:16" x14ac:dyDescent="0.3">
      <c r="A61">
        <v>1244</v>
      </c>
      <c r="B61" t="s">
        <v>22</v>
      </c>
      <c r="C61" t="b">
        <f t="shared" si="1"/>
        <v>0</v>
      </c>
      <c r="D61">
        <v>25</v>
      </c>
      <c r="E61" t="s">
        <v>659</v>
      </c>
      <c r="F61" t="s">
        <v>167</v>
      </c>
      <c r="G61" t="s">
        <v>742</v>
      </c>
      <c r="H61">
        <v>4</v>
      </c>
      <c r="I61" t="s">
        <v>28</v>
      </c>
      <c r="J61" s="5">
        <v>45359</v>
      </c>
      <c r="K61" s="5">
        <v>45356</v>
      </c>
      <c r="L61" t="s">
        <v>914</v>
      </c>
      <c r="M61" t="s">
        <v>910</v>
      </c>
      <c r="N61" t="s">
        <v>71</v>
      </c>
      <c r="O61">
        <v>0</v>
      </c>
      <c r="P61" t="s">
        <v>920</v>
      </c>
    </row>
    <row r="62" spans="1:16" x14ac:dyDescent="0.3">
      <c r="A62">
        <v>1359</v>
      </c>
      <c r="B62" t="s">
        <v>107</v>
      </c>
      <c r="C62" t="b">
        <f t="shared" si="1"/>
        <v>0</v>
      </c>
      <c r="D62">
        <v>19</v>
      </c>
      <c r="E62" t="s">
        <v>24</v>
      </c>
      <c r="F62" t="s">
        <v>25</v>
      </c>
      <c r="G62" t="s">
        <v>743</v>
      </c>
      <c r="H62">
        <v>3</v>
      </c>
      <c r="I62" t="s">
        <v>28</v>
      </c>
      <c r="J62" s="5">
        <v>45362</v>
      </c>
      <c r="K62" s="5">
        <v>45341</v>
      </c>
      <c r="L62" t="s">
        <v>20</v>
      </c>
      <c r="M62" t="s">
        <v>909</v>
      </c>
      <c r="N62" t="s">
        <v>967</v>
      </c>
      <c r="O62">
        <v>0</v>
      </c>
      <c r="P62" t="s">
        <v>920</v>
      </c>
    </row>
    <row r="63" spans="1:16" x14ac:dyDescent="0.3">
      <c r="A63">
        <v>1459</v>
      </c>
      <c r="B63" t="s">
        <v>74</v>
      </c>
      <c r="C63" t="b">
        <f t="shared" si="1"/>
        <v>0</v>
      </c>
      <c r="D63">
        <v>22</v>
      </c>
      <c r="E63" t="s">
        <v>24</v>
      </c>
      <c r="F63" t="s">
        <v>156</v>
      </c>
      <c r="G63" t="s">
        <v>744</v>
      </c>
      <c r="H63">
        <v>0</v>
      </c>
      <c r="I63" t="s">
        <v>28</v>
      </c>
      <c r="J63" s="5">
        <v>45328</v>
      </c>
      <c r="K63" s="5">
        <v>45333</v>
      </c>
      <c r="L63" t="s">
        <v>20</v>
      </c>
      <c r="M63" t="s">
        <v>913</v>
      </c>
      <c r="N63" t="s">
        <v>66</v>
      </c>
      <c r="O63">
        <v>0</v>
      </c>
      <c r="P63" t="s">
        <v>920</v>
      </c>
    </row>
    <row r="64" spans="1:16" x14ac:dyDescent="0.3">
      <c r="A64">
        <v>1455</v>
      </c>
      <c r="B64" t="s">
        <v>74</v>
      </c>
      <c r="C64" t="b">
        <f t="shared" si="1"/>
        <v>0</v>
      </c>
      <c r="D64">
        <v>25</v>
      </c>
      <c r="E64" t="s">
        <v>55</v>
      </c>
      <c r="F64" t="s">
        <v>156</v>
      </c>
      <c r="G64" t="s">
        <v>746</v>
      </c>
      <c r="H64">
        <v>1</v>
      </c>
      <c r="I64" t="s">
        <v>28</v>
      </c>
      <c r="J64" s="5">
        <v>45399</v>
      </c>
      <c r="K64" s="5">
        <v>45348</v>
      </c>
      <c r="L64" t="s">
        <v>20</v>
      </c>
      <c r="M64" t="s">
        <v>909</v>
      </c>
      <c r="N64" t="s">
        <v>968</v>
      </c>
      <c r="O64">
        <v>0</v>
      </c>
      <c r="P64" t="s">
        <v>920</v>
      </c>
    </row>
    <row r="65" spans="1:16" x14ac:dyDescent="0.3">
      <c r="A65">
        <v>1129</v>
      </c>
      <c r="B65" t="s">
        <v>107</v>
      </c>
      <c r="C65">
        <f t="shared" si="1"/>
        <v>0</v>
      </c>
      <c r="D65">
        <v>0</v>
      </c>
      <c r="E65" t="s">
        <v>24</v>
      </c>
      <c r="F65" t="s">
        <v>156</v>
      </c>
      <c r="G65" t="s">
        <v>747</v>
      </c>
      <c r="H65">
        <v>1</v>
      </c>
      <c r="I65" t="s">
        <v>76</v>
      </c>
      <c r="J65" s="5">
        <v>45406</v>
      </c>
      <c r="K65" s="5">
        <v>45439</v>
      </c>
      <c r="L65" t="s">
        <v>40</v>
      </c>
      <c r="M65" t="s">
        <v>911</v>
      </c>
      <c r="N65" t="s">
        <v>957</v>
      </c>
      <c r="O65">
        <v>1</v>
      </c>
      <c r="P65" t="s">
        <v>920</v>
      </c>
    </row>
    <row r="66" spans="1:16" x14ac:dyDescent="0.3">
      <c r="A66">
        <v>1186</v>
      </c>
      <c r="B66" t="s">
        <v>120</v>
      </c>
      <c r="C66">
        <f t="shared" ref="C66:C97" si="2">IF(OR(D66=0, D66&lt;0, D66&gt;80, ISBLANK(D66)), D66)</f>
        <v>0</v>
      </c>
      <c r="D66">
        <v>0</v>
      </c>
      <c r="E66" t="s">
        <v>659</v>
      </c>
      <c r="F66" t="s">
        <v>167</v>
      </c>
      <c r="G66" t="s">
        <v>749</v>
      </c>
      <c r="H66">
        <v>2</v>
      </c>
      <c r="I66" t="s">
        <v>76</v>
      </c>
      <c r="J66" s="5">
        <v>45332</v>
      </c>
      <c r="K66" s="5">
        <v>45337</v>
      </c>
      <c r="L66" t="s">
        <v>20</v>
      </c>
      <c r="M66" t="s">
        <v>912</v>
      </c>
      <c r="N66" t="s">
        <v>66</v>
      </c>
      <c r="O66">
        <v>0</v>
      </c>
      <c r="P66" t="s">
        <v>920</v>
      </c>
    </row>
    <row r="67" spans="1:16" x14ac:dyDescent="0.3">
      <c r="A67">
        <v>1357</v>
      </c>
      <c r="B67" t="s">
        <v>22</v>
      </c>
      <c r="C67" t="b">
        <f t="shared" si="2"/>
        <v>0</v>
      </c>
      <c r="D67">
        <v>24</v>
      </c>
      <c r="E67" t="s">
        <v>55</v>
      </c>
      <c r="F67" t="s">
        <v>25</v>
      </c>
      <c r="G67" t="s">
        <v>750</v>
      </c>
      <c r="H67">
        <v>4</v>
      </c>
      <c r="I67" t="s">
        <v>28</v>
      </c>
      <c r="J67" s="5">
        <v>45366</v>
      </c>
      <c r="K67" s="5">
        <v>45395</v>
      </c>
      <c r="L67" t="s">
        <v>40</v>
      </c>
      <c r="M67" t="s">
        <v>912</v>
      </c>
      <c r="N67" t="s">
        <v>923</v>
      </c>
      <c r="O67">
        <v>1</v>
      </c>
      <c r="P67" t="s">
        <v>920</v>
      </c>
    </row>
    <row r="68" spans="1:16" x14ac:dyDescent="0.3">
      <c r="A68">
        <v>1183</v>
      </c>
      <c r="B68" t="s">
        <v>163</v>
      </c>
      <c r="C68" t="b">
        <f t="shared" si="2"/>
        <v>0</v>
      </c>
      <c r="D68">
        <v>21</v>
      </c>
      <c r="E68" t="s">
        <v>659</v>
      </c>
      <c r="F68" t="s">
        <v>84</v>
      </c>
      <c r="G68" t="s">
        <v>751</v>
      </c>
      <c r="H68">
        <v>5</v>
      </c>
      <c r="I68" t="s">
        <v>28</v>
      </c>
      <c r="J68" s="5">
        <v>45405</v>
      </c>
      <c r="K68" s="5">
        <v>45361</v>
      </c>
      <c r="L68" t="s">
        <v>20</v>
      </c>
      <c r="M68" t="s">
        <v>912</v>
      </c>
      <c r="N68" t="s">
        <v>969</v>
      </c>
      <c r="O68">
        <v>0</v>
      </c>
      <c r="P68" t="s">
        <v>920</v>
      </c>
    </row>
    <row r="69" spans="1:16" x14ac:dyDescent="0.3">
      <c r="A69">
        <v>1434</v>
      </c>
      <c r="B69" t="s">
        <v>136</v>
      </c>
      <c r="C69" t="b">
        <f t="shared" si="2"/>
        <v>0</v>
      </c>
      <c r="D69">
        <v>19</v>
      </c>
      <c r="E69" t="s">
        <v>24</v>
      </c>
      <c r="F69" t="s">
        <v>25</v>
      </c>
      <c r="G69" t="s">
        <v>753</v>
      </c>
      <c r="H69">
        <v>5</v>
      </c>
      <c r="I69" t="s">
        <v>17</v>
      </c>
      <c r="J69" s="5">
        <v>45324</v>
      </c>
      <c r="K69" s="5">
        <v>45426</v>
      </c>
      <c r="L69" t="s">
        <v>69</v>
      </c>
      <c r="M69" t="s">
        <v>913</v>
      </c>
      <c r="N69" t="s">
        <v>970</v>
      </c>
      <c r="O69">
        <v>0</v>
      </c>
      <c r="P69" t="s">
        <v>920</v>
      </c>
    </row>
    <row r="70" spans="1:16" x14ac:dyDescent="0.3">
      <c r="A70">
        <v>1468</v>
      </c>
      <c r="B70" t="s">
        <v>32</v>
      </c>
      <c r="C70" t="b">
        <f t="shared" si="2"/>
        <v>0</v>
      </c>
      <c r="D70">
        <v>19</v>
      </c>
      <c r="E70" t="s">
        <v>55</v>
      </c>
      <c r="F70" t="s">
        <v>84</v>
      </c>
      <c r="G70" t="s">
        <v>754</v>
      </c>
      <c r="H70">
        <v>5</v>
      </c>
      <c r="I70" t="s">
        <v>908</v>
      </c>
      <c r="J70" s="5">
        <v>45296</v>
      </c>
      <c r="K70" s="5">
        <v>45437</v>
      </c>
      <c r="L70" t="s">
        <v>40</v>
      </c>
      <c r="M70" t="s">
        <v>913</v>
      </c>
      <c r="N70" t="s">
        <v>971</v>
      </c>
      <c r="O70">
        <v>1</v>
      </c>
      <c r="P70" t="s">
        <v>920</v>
      </c>
    </row>
    <row r="71" spans="1:16" x14ac:dyDescent="0.3">
      <c r="A71">
        <v>1312</v>
      </c>
      <c r="B71" t="s">
        <v>12</v>
      </c>
      <c r="C71" t="b">
        <f t="shared" si="2"/>
        <v>0</v>
      </c>
      <c r="D71">
        <v>25</v>
      </c>
      <c r="E71" t="s">
        <v>55</v>
      </c>
      <c r="F71" t="s">
        <v>167</v>
      </c>
      <c r="G71" t="s">
        <v>755</v>
      </c>
      <c r="H71">
        <v>5</v>
      </c>
      <c r="I71" t="s">
        <v>17</v>
      </c>
      <c r="J71" s="5">
        <v>45461</v>
      </c>
      <c r="K71" s="5">
        <v>45325</v>
      </c>
      <c r="L71" t="s">
        <v>40</v>
      </c>
      <c r="M71" t="s">
        <v>909</v>
      </c>
      <c r="N71" t="s">
        <v>972</v>
      </c>
      <c r="O71">
        <v>1</v>
      </c>
      <c r="P71" t="s">
        <v>920</v>
      </c>
    </row>
    <row r="72" spans="1:16" x14ac:dyDescent="0.3">
      <c r="A72">
        <v>1018</v>
      </c>
      <c r="B72" t="s">
        <v>107</v>
      </c>
      <c r="C72">
        <f t="shared" si="2"/>
        <v>0</v>
      </c>
      <c r="D72">
        <v>0</v>
      </c>
      <c r="E72" t="s">
        <v>659</v>
      </c>
      <c r="F72" t="s">
        <v>25</v>
      </c>
      <c r="G72" t="s">
        <v>758</v>
      </c>
      <c r="H72">
        <v>5</v>
      </c>
      <c r="I72" t="s">
        <v>28</v>
      </c>
      <c r="J72" s="5">
        <v>45431</v>
      </c>
      <c r="K72" s="5">
        <v>45388</v>
      </c>
      <c r="L72" t="s">
        <v>40</v>
      </c>
      <c r="M72" t="s">
        <v>909</v>
      </c>
      <c r="N72" t="s">
        <v>973</v>
      </c>
      <c r="O72">
        <v>1</v>
      </c>
      <c r="P72" t="s">
        <v>920</v>
      </c>
    </row>
    <row r="73" spans="1:16" x14ac:dyDescent="0.3">
      <c r="A73">
        <v>1001</v>
      </c>
      <c r="B73" t="s">
        <v>74</v>
      </c>
      <c r="C73" t="b">
        <f t="shared" si="2"/>
        <v>0</v>
      </c>
      <c r="D73">
        <v>25</v>
      </c>
      <c r="E73" t="s">
        <v>659</v>
      </c>
      <c r="F73" t="s">
        <v>167</v>
      </c>
      <c r="G73" t="s">
        <v>760</v>
      </c>
      <c r="H73">
        <v>4</v>
      </c>
      <c r="I73" t="s">
        <v>28</v>
      </c>
      <c r="J73" s="5">
        <v>45354</v>
      </c>
      <c r="K73" s="5">
        <v>45397</v>
      </c>
      <c r="L73" t="s">
        <v>40</v>
      </c>
      <c r="M73" t="s">
        <v>912</v>
      </c>
      <c r="N73" t="s">
        <v>973</v>
      </c>
      <c r="O73">
        <v>1</v>
      </c>
      <c r="P73" t="s">
        <v>920</v>
      </c>
    </row>
    <row r="74" spans="1:16" x14ac:dyDescent="0.3">
      <c r="A74">
        <v>1051</v>
      </c>
      <c r="B74" t="s">
        <v>163</v>
      </c>
      <c r="C74" t="b">
        <f t="shared" si="2"/>
        <v>0</v>
      </c>
      <c r="D74">
        <v>19</v>
      </c>
      <c r="E74" t="s">
        <v>24</v>
      </c>
      <c r="F74" t="s">
        <v>84</v>
      </c>
      <c r="G74" t="s">
        <v>761</v>
      </c>
      <c r="H74">
        <v>1</v>
      </c>
      <c r="I74" t="s">
        <v>17</v>
      </c>
      <c r="J74" s="5">
        <v>45350</v>
      </c>
      <c r="K74" s="5">
        <v>45325</v>
      </c>
      <c r="L74" t="s">
        <v>40</v>
      </c>
      <c r="M74" t="s">
        <v>911</v>
      </c>
      <c r="N74" t="s">
        <v>954</v>
      </c>
      <c r="O74">
        <v>1</v>
      </c>
      <c r="P74" t="s">
        <v>920</v>
      </c>
    </row>
    <row r="75" spans="1:16" x14ac:dyDescent="0.3">
      <c r="A75">
        <v>1373</v>
      </c>
      <c r="B75" t="s">
        <v>12</v>
      </c>
      <c r="C75">
        <f t="shared" si="2"/>
        <v>0</v>
      </c>
      <c r="D75">
        <v>0</v>
      </c>
      <c r="E75" t="s">
        <v>24</v>
      </c>
      <c r="F75" t="s">
        <v>84</v>
      </c>
      <c r="G75" t="s">
        <v>763</v>
      </c>
      <c r="H75">
        <v>5</v>
      </c>
      <c r="I75" t="s">
        <v>908</v>
      </c>
      <c r="J75" s="5">
        <v>45428</v>
      </c>
      <c r="K75" s="5">
        <v>45343</v>
      </c>
      <c r="L75" t="s">
        <v>40</v>
      </c>
      <c r="M75" t="s">
        <v>913</v>
      </c>
      <c r="N75" t="s">
        <v>974</v>
      </c>
      <c r="O75">
        <v>1</v>
      </c>
      <c r="P75" t="s">
        <v>920</v>
      </c>
    </row>
    <row r="76" spans="1:16" x14ac:dyDescent="0.3">
      <c r="A76">
        <v>1056</v>
      </c>
      <c r="B76" t="s">
        <v>12</v>
      </c>
      <c r="C76" t="b">
        <f t="shared" si="2"/>
        <v>0</v>
      </c>
      <c r="D76">
        <v>22</v>
      </c>
      <c r="E76" t="s">
        <v>24</v>
      </c>
      <c r="F76" t="s">
        <v>25</v>
      </c>
      <c r="G76" t="s">
        <v>766</v>
      </c>
      <c r="H76">
        <v>5</v>
      </c>
      <c r="I76" t="s">
        <v>908</v>
      </c>
      <c r="J76" s="5">
        <v>45571</v>
      </c>
      <c r="K76" s="5">
        <v>45598</v>
      </c>
      <c r="L76" t="s">
        <v>40</v>
      </c>
      <c r="M76" t="s">
        <v>913</v>
      </c>
      <c r="N76" t="s">
        <v>966</v>
      </c>
      <c r="O76">
        <v>1</v>
      </c>
      <c r="P76" t="s">
        <v>920</v>
      </c>
    </row>
    <row r="77" spans="1:16" x14ac:dyDescent="0.3">
      <c r="A77">
        <v>1475</v>
      </c>
      <c r="B77" t="s">
        <v>74</v>
      </c>
      <c r="C77" t="b">
        <f t="shared" si="2"/>
        <v>0</v>
      </c>
      <c r="D77">
        <v>22</v>
      </c>
      <c r="E77" t="s">
        <v>55</v>
      </c>
      <c r="F77" t="s">
        <v>25</v>
      </c>
      <c r="G77" t="s">
        <v>767</v>
      </c>
      <c r="H77">
        <v>0</v>
      </c>
      <c r="I77" t="s">
        <v>28</v>
      </c>
      <c r="J77" s="5">
        <v>45426</v>
      </c>
      <c r="K77" s="5">
        <v>45312</v>
      </c>
      <c r="L77" t="s">
        <v>20</v>
      </c>
      <c r="M77" t="s">
        <v>912</v>
      </c>
      <c r="N77" t="s">
        <v>975</v>
      </c>
      <c r="O77">
        <v>0</v>
      </c>
      <c r="P77" t="s">
        <v>920</v>
      </c>
    </row>
    <row r="78" spans="1:16" x14ac:dyDescent="0.3">
      <c r="A78">
        <v>1003</v>
      </c>
      <c r="B78" t="s">
        <v>117</v>
      </c>
      <c r="C78" t="b">
        <f t="shared" si="2"/>
        <v>0</v>
      </c>
      <c r="D78">
        <v>22</v>
      </c>
      <c r="E78" t="s">
        <v>659</v>
      </c>
      <c r="F78" t="s">
        <v>25</v>
      </c>
      <c r="G78" t="s">
        <v>770</v>
      </c>
      <c r="H78">
        <v>5</v>
      </c>
      <c r="I78" t="s">
        <v>17</v>
      </c>
      <c r="J78" s="5">
        <v>45304</v>
      </c>
      <c r="K78" s="5">
        <v>45445</v>
      </c>
      <c r="L78" t="s">
        <v>20</v>
      </c>
      <c r="M78" t="s">
        <v>912</v>
      </c>
      <c r="N78" t="s">
        <v>971</v>
      </c>
      <c r="O78">
        <v>0</v>
      </c>
      <c r="P78" t="s">
        <v>920</v>
      </c>
    </row>
    <row r="79" spans="1:16" x14ac:dyDescent="0.3">
      <c r="A79">
        <v>1067</v>
      </c>
      <c r="B79" t="s">
        <v>163</v>
      </c>
      <c r="C79">
        <f t="shared" si="2"/>
        <v>0</v>
      </c>
      <c r="D79">
        <v>0</v>
      </c>
      <c r="E79" t="s">
        <v>55</v>
      </c>
      <c r="F79" t="s">
        <v>84</v>
      </c>
      <c r="G79" t="s">
        <v>771</v>
      </c>
      <c r="H79">
        <v>5</v>
      </c>
      <c r="I79" t="s">
        <v>28</v>
      </c>
      <c r="J79" s="5">
        <v>45323</v>
      </c>
      <c r="K79" s="5">
        <v>45379</v>
      </c>
      <c r="L79" t="s">
        <v>20</v>
      </c>
      <c r="M79" t="s">
        <v>913</v>
      </c>
      <c r="N79" t="s">
        <v>976</v>
      </c>
      <c r="O79">
        <v>0</v>
      </c>
      <c r="P79" t="s">
        <v>920</v>
      </c>
    </row>
    <row r="80" spans="1:16" x14ac:dyDescent="0.3">
      <c r="A80">
        <v>1139</v>
      </c>
      <c r="B80" t="s">
        <v>22</v>
      </c>
      <c r="C80" t="b">
        <f t="shared" si="2"/>
        <v>0</v>
      </c>
      <c r="D80">
        <v>22</v>
      </c>
      <c r="E80" t="s">
        <v>659</v>
      </c>
      <c r="F80" t="s">
        <v>84</v>
      </c>
      <c r="G80" t="s">
        <v>772</v>
      </c>
      <c r="H80">
        <v>4</v>
      </c>
      <c r="I80" t="s">
        <v>28</v>
      </c>
      <c r="J80" s="5">
        <v>45570</v>
      </c>
      <c r="K80" s="5">
        <v>45474</v>
      </c>
      <c r="L80" t="s">
        <v>40</v>
      </c>
      <c r="M80" t="s">
        <v>912</v>
      </c>
      <c r="N80" t="s">
        <v>977</v>
      </c>
      <c r="O80">
        <v>1</v>
      </c>
      <c r="P80" t="s">
        <v>920</v>
      </c>
    </row>
    <row r="81" spans="1:16" x14ac:dyDescent="0.3">
      <c r="A81">
        <v>1149</v>
      </c>
      <c r="B81" t="s">
        <v>136</v>
      </c>
      <c r="C81" t="b">
        <f t="shared" si="2"/>
        <v>0</v>
      </c>
      <c r="D81">
        <v>22</v>
      </c>
      <c r="E81" t="s">
        <v>55</v>
      </c>
      <c r="F81" t="s">
        <v>25</v>
      </c>
      <c r="G81" t="s">
        <v>773</v>
      </c>
      <c r="H81">
        <v>5</v>
      </c>
      <c r="I81" t="s">
        <v>17</v>
      </c>
      <c r="J81" s="5">
        <v>45386</v>
      </c>
      <c r="K81" s="5">
        <v>45337</v>
      </c>
      <c r="L81" t="s">
        <v>69</v>
      </c>
      <c r="M81" t="s">
        <v>910</v>
      </c>
      <c r="N81" t="s">
        <v>978</v>
      </c>
      <c r="O81">
        <v>0</v>
      </c>
      <c r="P81" t="s">
        <v>920</v>
      </c>
    </row>
    <row r="82" spans="1:16" x14ac:dyDescent="0.3">
      <c r="A82">
        <v>1473</v>
      </c>
      <c r="B82" t="s">
        <v>163</v>
      </c>
      <c r="C82" t="b">
        <f t="shared" si="2"/>
        <v>0</v>
      </c>
      <c r="D82">
        <v>19</v>
      </c>
      <c r="E82" t="s">
        <v>659</v>
      </c>
      <c r="F82" t="s">
        <v>84</v>
      </c>
      <c r="G82" t="s">
        <v>774</v>
      </c>
      <c r="H82">
        <v>0</v>
      </c>
      <c r="I82" t="s">
        <v>908</v>
      </c>
      <c r="J82" s="5">
        <v>45392</v>
      </c>
      <c r="K82" s="5">
        <v>45349</v>
      </c>
      <c r="L82" t="s">
        <v>914</v>
      </c>
      <c r="M82" t="s">
        <v>909</v>
      </c>
      <c r="N82" t="s">
        <v>973</v>
      </c>
      <c r="O82">
        <v>0</v>
      </c>
      <c r="P82" t="s">
        <v>920</v>
      </c>
    </row>
    <row r="83" spans="1:16" x14ac:dyDescent="0.3">
      <c r="A83">
        <v>1103</v>
      </c>
      <c r="B83" t="s">
        <v>117</v>
      </c>
      <c r="C83" t="b">
        <f t="shared" si="2"/>
        <v>0</v>
      </c>
      <c r="D83">
        <v>23</v>
      </c>
      <c r="E83" t="s">
        <v>24</v>
      </c>
      <c r="F83" t="s">
        <v>156</v>
      </c>
      <c r="G83" t="s">
        <v>775</v>
      </c>
      <c r="H83">
        <v>5</v>
      </c>
      <c r="I83" t="s">
        <v>76</v>
      </c>
      <c r="J83" s="5">
        <v>45413</v>
      </c>
      <c r="K83" s="5">
        <v>45375</v>
      </c>
      <c r="L83" t="s">
        <v>40</v>
      </c>
      <c r="M83" t="s">
        <v>913</v>
      </c>
      <c r="N83" t="s">
        <v>952</v>
      </c>
      <c r="O83">
        <v>1</v>
      </c>
      <c r="P83" t="s">
        <v>920</v>
      </c>
    </row>
    <row r="84" spans="1:16" x14ac:dyDescent="0.3">
      <c r="A84">
        <v>1489</v>
      </c>
      <c r="B84" t="s">
        <v>107</v>
      </c>
      <c r="C84" t="b">
        <f t="shared" si="2"/>
        <v>0</v>
      </c>
      <c r="D84">
        <v>23</v>
      </c>
      <c r="E84" t="s">
        <v>659</v>
      </c>
      <c r="F84" t="s">
        <v>84</v>
      </c>
      <c r="G84" t="s">
        <v>776</v>
      </c>
      <c r="H84">
        <v>5</v>
      </c>
      <c r="I84" t="s">
        <v>908</v>
      </c>
      <c r="J84" s="5">
        <v>45327</v>
      </c>
      <c r="K84" s="5">
        <v>45539</v>
      </c>
      <c r="L84" t="s">
        <v>914</v>
      </c>
      <c r="M84" t="s">
        <v>912</v>
      </c>
      <c r="N84" t="s">
        <v>979</v>
      </c>
      <c r="O84">
        <v>0</v>
      </c>
      <c r="P84" t="s">
        <v>920</v>
      </c>
    </row>
    <row r="85" spans="1:16" x14ac:dyDescent="0.3">
      <c r="A85">
        <v>1354</v>
      </c>
      <c r="B85" t="s">
        <v>22</v>
      </c>
      <c r="C85" t="b">
        <f t="shared" si="2"/>
        <v>0</v>
      </c>
      <c r="D85">
        <v>19</v>
      </c>
      <c r="E85" t="s">
        <v>24</v>
      </c>
      <c r="F85" t="s">
        <v>156</v>
      </c>
      <c r="G85" t="s">
        <v>777</v>
      </c>
      <c r="H85">
        <v>1</v>
      </c>
      <c r="I85" t="s">
        <v>28</v>
      </c>
      <c r="J85" s="5">
        <v>45316</v>
      </c>
      <c r="K85" s="5">
        <v>45386</v>
      </c>
      <c r="L85" t="s">
        <v>914</v>
      </c>
      <c r="M85" t="s">
        <v>909</v>
      </c>
      <c r="N85" t="s">
        <v>980</v>
      </c>
      <c r="O85">
        <v>0</v>
      </c>
      <c r="P85" t="s">
        <v>920</v>
      </c>
    </row>
    <row r="86" spans="1:16" x14ac:dyDescent="0.3">
      <c r="A86">
        <v>1003</v>
      </c>
      <c r="B86" t="s">
        <v>12</v>
      </c>
      <c r="C86" t="b">
        <f t="shared" si="2"/>
        <v>0</v>
      </c>
      <c r="D86">
        <v>22</v>
      </c>
      <c r="E86" t="s">
        <v>24</v>
      </c>
      <c r="F86" t="s">
        <v>25</v>
      </c>
      <c r="G86" t="s">
        <v>778</v>
      </c>
      <c r="H86">
        <v>1</v>
      </c>
      <c r="I86" t="s">
        <v>908</v>
      </c>
      <c r="J86" s="5">
        <v>45457</v>
      </c>
      <c r="K86" s="5">
        <v>45602</v>
      </c>
      <c r="L86" t="s">
        <v>40</v>
      </c>
      <c r="M86" t="s">
        <v>911</v>
      </c>
      <c r="N86" t="s">
        <v>981</v>
      </c>
      <c r="O86">
        <v>1</v>
      </c>
      <c r="P86" t="s">
        <v>920</v>
      </c>
    </row>
    <row r="87" spans="1:16" x14ac:dyDescent="0.3">
      <c r="A87">
        <v>1259</v>
      </c>
      <c r="B87" t="s">
        <v>47</v>
      </c>
      <c r="C87" t="b">
        <f t="shared" si="2"/>
        <v>0</v>
      </c>
      <c r="D87">
        <v>23</v>
      </c>
      <c r="E87" t="s">
        <v>55</v>
      </c>
      <c r="F87" t="s">
        <v>25</v>
      </c>
      <c r="G87" t="s">
        <v>780</v>
      </c>
      <c r="H87">
        <v>1</v>
      </c>
      <c r="I87" t="s">
        <v>908</v>
      </c>
      <c r="J87" s="5">
        <v>45325</v>
      </c>
      <c r="K87" s="5">
        <v>45296</v>
      </c>
      <c r="L87" t="s">
        <v>20</v>
      </c>
      <c r="M87" t="s">
        <v>909</v>
      </c>
      <c r="N87" t="s">
        <v>923</v>
      </c>
      <c r="O87">
        <v>0</v>
      </c>
      <c r="P87" t="s">
        <v>920</v>
      </c>
    </row>
    <row r="88" spans="1:16" x14ac:dyDescent="0.3">
      <c r="A88">
        <v>1243</v>
      </c>
      <c r="B88" t="s">
        <v>163</v>
      </c>
      <c r="C88" t="b">
        <f t="shared" si="2"/>
        <v>0</v>
      </c>
      <c r="D88">
        <v>19</v>
      </c>
      <c r="E88" t="s">
        <v>24</v>
      </c>
      <c r="F88" t="s">
        <v>167</v>
      </c>
      <c r="G88" t="s">
        <v>781</v>
      </c>
      <c r="H88">
        <v>1</v>
      </c>
      <c r="I88" t="s">
        <v>28</v>
      </c>
      <c r="J88" s="5">
        <v>45315</v>
      </c>
      <c r="K88" s="5">
        <v>45336</v>
      </c>
      <c r="L88" t="s">
        <v>69</v>
      </c>
      <c r="M88" t="s">
        <v>912</v>
      </c>
      <c r="N88" t="s">
        <v>967</v>
      </c>
      <c r="O88">
        <v>0</v>
      </c>
      <c r="P88" t="s">
        <v>920</v>
      </c>
    </row>
    <row r="89" spans="1:16" x14ac:dyDescent="0.3">
      <c r="A89">
        <v>1222</v>
      </c>
      <c r="B89" t="s">
        <v>47</v>
      </c>
      <c r="C89" t="b">
        <f t="shared" si="2"/>
        <v>0</v>
      </c>
      <c r="D89">
        <v>18</v>
      </c>
      <c r="E89" t="s">
        <v>55</v>
      </c>
      <c r="F89" t="s">
        <v>167</v>
      </c>
      <c r="G89" t="s">
        <v>782</v>
      </c>
      <c r="H89">
        <v>2</v>
      </c>
      <c r="I89" t="s">
        <v>908</v>
      </c>
      <c r="J89" s="5">
        <v>45417</v>
      </c>
      <c r="K89" s="5">
        <v>45376</v>
      </c>
      <c r="L89" t="s">
        <v>20</v>
      </c>
      <c r="M89" t="s">
        <v>912</v>
      </c>
      <c r="N89" t="s">
        <v>930</v>
      </c>
      <c r="O89">
        <v>0</v>
      </c>
      <c r="P89" t="s">
        <v>920</v>
      </c>
    </row>
    <row r="90" spans="1:16" x14ac:dyDescent="0.3">
      <c r="A90">
        <v>1262</v>
      </c>
      <c r="B90" t="s">
        <v>74</v>
      </c>
      <c r="C90" t="b">
        <f t="shared" si="2"/>
        <v>0</v>
      </c>
      <c r="D90">
        <v>24</v>
      </c>
      <c r="E90" t="s">
        <v>659</v>
      </c>
      <c r="F90" t="s">
        <v>25</v>
      </c>
      <c r="G90" t="s">
        <v>783</v>
      </c>
      <c r="H90">
        <v>5</v>
      </c>
      <c r="I90" t="s">
        <v>908</v>
      </c>
      <c r="J90" s="5">
        <v>45462</v>
      </c>
      <c r="K90" s="5">
        <v>45347</v>
      </c>
      <c r="L90" t="s">
        <v>69</v>
      </c>
      <c r="M90" t="s">
        <v>909</v>
      </c>
      <c r="N90" t="s">
        <v>982</v>
      </c>
      <c r="O90">
        <v>0</v>
      </c>
      <c r="P90" t="s">
        <v>920</v>
      </c>
    </row>
    <row r="91" spans="1:16" x14ac:dyDescent="0.3">
      <c r="A91">
        <v>1265</v>
      </c>
      <c r="B91" t="s">
        <v>74</v>
      </c>
      <c r="C91" t="b">
        <f t="shared" si="2"/>
        <v>0</v>
      </c>
      <c r="D91">
        <v>18</v>
      </c>
      <c r="E91" t="s">
        <v>55</v>
      </c>
      <c r="F91" t="s">
        <v>84</v>
      </c>
      <c r="G91" t="s">
        <v>784</v>
      </c>
      <c r="H91">
        <v>1</v>
      </c>
      <c r="I91" t="s">
        <v>908</v>
      </c>
      <c r="J91" s="5">
        <v>45360</v>
      </c>
      <c r="K91" s="5">
        <v>45447</v>
      </c>
      <c r="L91" t="s">
        <v>69</v>
      </c>
      <c r="M91" t="s">
        <v>913</v>
      </c>
      <c r="N91" t="s">
        <v>927</v>
      </c>
      <c r="O91">
        <v>0</v>
      </c>
      <c r="P91" t="s">
        <v>920</v>
      </c>
    </row>
    <row r="92" spans="1:16" x14ac:dyDescent="0.3">
      <c r="A92">
        <v>1014</v>
      </c>
      <c r="B92" t="s">
        <v>107</v>
      </c>
      <c r="C92" t="b">
        <f t="shared" si="2"/>
        <v>0</v>
      </c>
      <c r="D92">
        <v>22</v>
      </c>
      <c r="E92" t="s">
        <v>659</v>
      </c>
      <c r="F92" t="s">
        <v>25</v>
      </c>
      <c r="G92" t="s">
        <v>786</v>
      </c>
      <c r="H92">
        <v>2</v>
      </c>
      <c r="I92" t="s">
        <v>17</v>
      </c>
      <c r="J92" s="5">
        <v>45430</v>
      </c>
      <c r="K92" s="5">
        <v>45315</v>
      </c>
      <c r="L92" t="s">
        <v>40</v>
      </c>
      <c r="M92" t="s">
        <v>913</v>
      </c>
      <c r="N92" t="s">
        <v>982</v>
      </c>
      <c r="O92">
        <v>1</v>
      </c>
      <c r="P92" t="s">
        <v>920</v>
      </c>
    </row>
    <row r="93" spans="1:16" x14ac:dyDescent="0.3">
      <c r="A93">
        <v>1486</v>
      </c>
      <c r="B93" t="s">
        <v>47</v>
      </c>
      <c r="C93" t="b">
        <f t="shared" si="2"/>
        <v>0</v>
      </c>
      <c r="D93">
        <v>24</v>
      </c>
      <c r="E93" t="s">
        <v>55</v>
      </c>
      <c r="F93" t="s">
        <v>84</v>
      </c>
      <c r="G93" t="s">
        <v>787</v>
      </c>
      <c r="H93">
        <v>3</v>
      </c>
      <c r="I93" t="s">
        <v>17</v>
      </c>
      <c r="J93" s="5">
        <v>45352</v>
      </c>
      <c r="K93" s="5">
        <v>45295</v>
      </c>
      <c r="L93" t="s">
        <v>914</v>
      </c>
      <c r="M93" t="s">
        <v>910</v>
      </c>
      <c r="N93" t="s">
        <v>983</v>
      </c>
      <c r="O93">
        <v>0</v>
      </c>
      <c r="P93" t="s">
        <v>920</v>
      </c>
    </row>
    <row r="94" spans="1:16" x14ac:dyDescent="0.3">
      <c r="A94">
        <v>1467</v>
      </c>
      <c r="B94" t="s">
        <v>117</v>
      </c>
      <c r="C94">
        <f t="shared" si="2"/>
        <v>0</v>
      </c>
      <c r="D94">
        <v>0</v>
      </c>
      <c r="E94" t="s">
        <v>659</v>
      </c>
      <c r="F94" t="s">
        <v>84</v>
      </c>
      <c r="G94" t="s">
        <v>788</v>
      </c>
      <c r="H94">
        <v>4</v>
      </c>
      <c r="I94" t="s">
        <v>28</v>
      </c>
      <c r="J94" s="5">
        <v>45444</v>
      </c>
      <c r="K94" s="5">
        <v>45456</v>
      </c>
      <c r="L94" t="s">
        <v>914</v>
      </c>
      <c r="M94" t="s">
        <v>912</v>
      </c>
      <c r="N94" t="s">
        <v>984</v>
      </c>
      <c r="O94">
        <v>0</v>
      </c>
      <c r="P94" t="s">
        <v>920</v>
      </c>
    </row>
    <row r="95" spans="1:16" x14ac:dyDescent="0.3">
      <c r="A95">
        <v>1438</v>
      </c>
      <c r="B95" t="s">
        <v>107</v>
      </c>
      <c r="C95" t="b">
        <f t="shared" si="2"/>
        <v>0</v>
      </c>
      <c r="D95">
        <v>21</v>
      </c>
      <c r="E95" t="s">
        <v>24</v>
      </c>
      <c r="F95" t="s">
        <v>84</v>
      </c>
      <c r="G95" t="s">
        <v>792</v>
      </c>
      <c r="H95">
        <v>5</v>
      </c>
      <c r="I95" t="s">
        <v>908</v>
      </c>
      <c r="J95" s="5">
        <v>45386</v>
      </c>
      <c r="K95" s="5">
        <v>45395</v>
      </c>
      <c r="L95" t="s">
        <v>20</v>
      </c>
      <c r="M95" t="s">
        <v>912</v>
      </c>
      <c r="N95" t="s">
        <v>985</v>
      </c>
      <c r="O95">
        <v>0</v>
      </c>
      <c r="P95" t="s">
        <v>920</v>
      </c>
    </row>
    <row r="96" spans="1:16" x14ac:dyDescent="0.3">
      <c r="A96">
        <v>1027</v>
      </c>
      <c r="B96" t="s">
        <v>22</v>
      </c>
      <c r="C96" t="b">
        <f t="shared" si="2"/>
        <v>0</v>
      </c>
      <c r="D96">
        <v>22</v>
      </c>
      <c r="E96" t="s">
        <v>659</v>
      </c>
      <c r="F96" t="s">
        <v>25</v>
      </c>
      <c r="G96" t="s">
        <v>793</v>
      </c>
      <c r="H96">
        <v>4</v>
      </c>
      <c r="I96" t="s">
        <v>908</v>
      </c>
      <c r="J96" s="5">
        <v>45348</v>
      </c>
      <c r="K96" s="5">
        <v>45339</v>
      </c>
      <c r="L96" t="s">
        <v>914</v>
      </c>
      <c r="M96" t="s">
        <v>909</v>
      </c>
      <c r="N96" t="s">
        <v>985</v>
      </c>
      <c r="O96">
        <v>0</v>
      </c>
      <c r="P96" t="s">
        <v>920</v>
      </c>
    </row>
    <row r="97" spans="1:16" x14ac:dyDescent="0.3">
      <c r="A97">
        <v>1366</v>
      </c>
      <c r="B97" t="s">
        <v>163</v>
      </c>
      <c r="C97" t="b">
        <f t="shared" si="2"/>
        <v>0</v>
      </c>
      <c r="D97">
        <v>20</v>
      </c>
      <c r="E97" t="s">
        <v>659</v>
      </c>
      <c r="F97" t="s">
        <v>84</v>
      </c>
      <c r="G97" t="s">
        <v>797</v>
      </c>
      <c r="H97">
        <v>0</v>
      </c>
      <c r="I97" t="s">
        <v>17</v>
      </c>
      <c r="J97" s="5">
        <v>45327</v>
      </c>
      <c r="K97" s="5">
        <v>45448</v>
      </c>
      <c r="L97" t="s">
        <v>20</v>
      </c>
      <c r="M97" t="s">
        <v>910</v>
      </c>
      <c r="N97" t="s">
        <v>986</v>
      </c>
      <c r="O97">
        <v>0</v>
      </c>
      <c r="P97" t="s">
        <v>920</v>
      </c>
    </row>
    <row r="98" spans="1:16" x14ac:dyDescent="0.3">
      <c r="A98">
        <v>1330</v>
      </c>
      <c r="B98" t="s">
        <v>107</v>
      </c>
      <c r="C98" t="b">
        <f t="shared" ref="C98:C129" si="3">IF(OR(D98=0, D98&lt;0, D98&gt;80, ISBLANK(D98)), D98)</f>
        <v>0</v>
      </c>
      <c r="D98">
        <v>23</v>
      </c>
      <c r="E98" t="s">
        <v>55</v>
      </c>
      <c r="F98" t="s">
        <v>167</v>
      </c>
      <c r="G98" t="s">
        <v>798</v>
      </c>
      <c r="H98">
        <v>0</v>
      </c>
      <c r="I98" t="s">
        <v>908</v>
      </c>
      <c r="J98" s="5">
        <v>45432</v>
      </c>
      <c r="K98" s="5">
        <v>45324</v>
      </c>
      <c r="L98" t="s">
        <v>914</v>
      </c>
      <c r="M98" t="s">
        <v>911</v>
      </c>
      <c r="N98" t="s">
        <v>987</v>
      </c>
      <c r="O98">
        <v>0</v>
      </c>
      <c r="P98" t="s">
        <v>920</v>
      </c>
    </row>
    <row r="99" spans="1:16" x14ac:dyDescent="0.3">
      <c r="A99">
        <v>1116</v>
      </c>
      <c r="B99" t="s">
        <v>12</v>
      </c>
      <c r="C99" t="b">
        <f t="shared" si="3"/>
        <v>0</v>
      </c>
      <c r="D99">
        <v>22</v>
      </c>
      <c r="E99" t="s">
        <v>55</v>
      </c>
      <c r="F99" t="s">
        <v>25</v>
      </c>
      <c r="G99" t="s">
        <v>800</v>
      </c>
      <c r="H99">
        <v>5</v>
      </c>
      <c r="I99" t="s">
        <v>17</v>
      </c>
      <c r="J99" s="5">
        <v>45433</v>
      </c>
      <c r="K99" s="5">
        <v>45407</v>
      </c>
      <c r="L99" t="s">
        <v>914</v>
      </c>
      <c r="M99" t="s">
        <v>911</v>
      </c>
      <c r="N99" t="s">
        <v>937</v>
      </c>
      <c r="O99">
        <v>0</v>
      </c>
      <c r="P99" t="s">
        <v>920</v>
      </c>
    </row>
    <row r="100" spans="1:16" x14ac:dyDescent="0.3">
      <c r="A100">
        <v>1303</v>
      </c>
      <c r="B100" t="s">
        <v>120</v>
      </c>
      <c r="C100" t="b">
        <f t="shared" si="3"/>
        <v>0</v>
      </c>
      <c r="D100">
        <v>20</v>
      </c>
      <c r="E100" t="s">
        <v>55</v>
      </c>
      <c r="F100" t="s">
        <v>167</v>
      </c>
      <c r="G100" t="s">
        <v>803</v>
      </c>
      <c r="H100">
        <v>1</v>
      </c>
      <c r="I100" t="s">
        <v>17</v>
      </c>
      <c r="J100" s="5">
        <v>45450</v>
      </c>
      <c r="K100" s="5">
        <v>45459</v>
      </c>
      <c r="L100" t="s">
        <v>914</v>
      </c>
      <c r="M100" t="s">
        <v>910</v>
      </c>
      <c r="N100" t="s">
        <v>985</v>
      </c>
      <c r="O100">
        <v>0</v>
      </c>
      <c r="P100" t="s">
        <v>920</v>
      </c>
    </row>
    <row r="101" spans="1:16" x14ac:dyDescent="0.3">
      <c r="A101">
        <v>1493</v>
      </c>
      <c r="B101" t="s">
        <v>74</v>
      </c>
      <c r="C101">
        <f t="shared" si="3"/>
        <v>0</v>
      </c>
      <c r="D101">
        <v>0</v>
      </c>
      <c r="E101" t="s">
        <v>659</v>
      </c>
      <c r="F101" t="s">
        <v>25</v>
      </c>
      <c r="G101" t="s">
        <v>804</v>
      </c>
      <c r="H101">
        <v>4</v>
      </c>
      <c r="I101" t="s">
        <v>908</v>
      </c>
      <c r="J101" s="5">
        <v>45336</v>
      </c>
      <c r="K101" s="5">
        <v>45305</v>
      </c>
      <c r="L101" t="s">
        <v>40</v>
      </c>
      <c r="M101" t="s">
        <v>913</v>
      </c>
      <c r="N101" t="s">
        <v>988</v>
      </c>
      <c r="O101">
        <v>1</v>
      </c>
      <c r="P101" t="s">
        <v>920</v>
      </c>
    </row>
    <row r="102" spans="1:16" x14ac:dyDescent="0.3">
      <c r="A102">
        <v>1016</v>
      </c>
      <c r="B102" t="s">
        <v>120</v>
      </c>
      <c r="C102" t="b">
        <f t="shared" si="3"/>
        <v>0</v>
      </c>
      <c r="D102">
        <v>22</v>
      </c>
      <c r="E102" t="s">
        <v>24</v>
      </c>
      <c r="F102" t="s">
        <v>84</v>
      </c>
      <c r="G102" t="s">
        <v>805</v>
      </c>
      <c r="H102">
        <v>5</v>
      </c>
      <c r="I102" t="s">
        <v>28</v>
      </c>
      <c r="J102" s="5">
        <v>45628</v>
      </c>
      <c r="K102" s="5">
        <v>45315</v>
      </c>
      <c r="L102" t="s">
        <v>40</v>
      </c>
      <c r="M102" t="s">
        <v>910</v>
      </c>
      <c r="N102" t="s">
        <v>989</v>
      </c>
      <c r="O102">
        <v>1</v>
      </c>
      <c r="P102" t="s">
        <v>920</v>
      </c>
    </row>
    <row r="103" spans="1:16" x14ac:dyDescent="0.3">
      <c r="A103">
        <v>1133</v>
      </c>
      <c r="B103" t="s">
        <v>12</v>
      </c>
      <c r="C103" t="b">
        <f t="shared" si="3"/>
        <v>0</v>
      </c>
      <c r="D103">
        <v>19</v>
      </c>
      <c r="E103" t="s">
        <v>55</v>
      </c>
      <c r="F103" t="s">
        <v>156</v>
      </c>
      <c r="G103" t="s">
        <v>806</v>
      </c>
      <c r="H103">
        <v>1</v>
      </c>
      <c r="I103" t="s">
        <v>17</v>
      </c>
      <c r="J103" s="5">
        <v>45365</v>
      </c>
      <c r="K103" s="5">
        <v>45317</v>
      </c>
      <c r="L103" t="s">
        <v>914</v>
      </c>
      <c r="M103" t="s">
        <v>909</v>
      </c>
      <c r="N103" t="s">
        <v>990</v>
      </c>
      <c r="O103">
        <v>0</v>
      </c>
      <c r="P103" t="s">
        <v>920</v>
      </c>
    </row>
    <row r="104" spans="1:16" x14ac:dyDescent="0.3">
      <c r="A104">
        <v>1360</v>
      </c>
      <c r="B104" t="s">
        <v>47</v>
      </c>
      <c r="C104" t="b">
        <f t="shared" si="3"/>
        <v>0</v>
      </c>
      <c r="D104">
        <v>18</v>
      </c>
      <c r="E104" t="s">
        <v>55</v>
      </c>
      <c r="F104" t="s">
        <v>167</v>
      </c>
      <c r="G104" t="s">
        <v>807</v>
      </c>
      <c r="H104">
        <v>1</v>
      </c>
      <c r="I104" t="s">
        <v>908</v>
      </c>
      <c r="J104" s="5">
        <v>45311</v>
      </c>
      <c r="K104" s="5">
        <v>45374</v>
      </c>
      <c r="L104" t="s">
        <v>40</v>
      </c>
      <c r="M104" t="s">
        <v>912</v>
      </c>
      <c r="N104" t="s">
        <v>934</v>
      </c>
      <c r="O104">
        <v>1</v>
      </c>
      <c r="P104" t="s">
        <v>920</v>
      </c>
    </row>
    <row r="105" spans="1:16" x14ac:dyDescent="0.3">
      <c r="A105">
        <v>1409</v>
      </c>
      <c r="B105" t="s">
        <v>163</v>
      </c>
      <c r="C105" t="b">
        <f t="shared" si="3"/>
        <v>0</v>
      </c>
      <c r="D105">
        <v>23</v>
      </c>
      <c r="E105" t="s">
        <v>659</v>
      </c>
      <c r="F105" t="s">
        <v>25</v>
      </c>
      <c r="G105" t="s">
        <v>814</v>
      </c>
      <c r="H105">
        <v>1</v>
      </c>
      <c r="I105" t="s">
        <v>28</v>
      </c>
      <c r="J105" s="5">
        <v>45466</v>
      </c>
      <c r="K105" s="5">
        <v>45477</v>
      </c>
      <c r="L105" t="s">
        <v>69</v>
      </c>
      <c r="M105" t="s">
        <v>911</v>
      </c>
      <c r="N105" t="s">
        <v>951</v>
      </c>
      <c r="O105">
        <v>0</v>
      </c>
      <c r="P105" t="s">
        <v>920</v>
      </c>
    </row>
    <row r="106" spans="1:16" x14ac:dyDescent="0.3">
      <c r="A106">
        <v>1433</v>
      </c>
      <c r="B106" t="s">
        <v>120</v>
      </c>
      <c r="C106" t="b">
        <f t="shared" si="3"/>
        <v>0</v>
      </c>
      <c r="D106">
        <v>18</v>
      </c>
      <c r="E106" t="s">
        <v>55</v>
      </c>
      <c r="F106" t="s">
        <v>156</v>
      </c>
      <c r="G106" t="s">
        <v>816</v>
      </c>
      <c r="H106">
        <v>1</v>
      </c>
      <c r="I106" t="s">
        <v>17</v>
      </c>
      <c r="J106" s="5">
        <v>45405</v>
      </c>
      <c r="K106" s="5">
        <v>45414</v>
      </c>
      <c r="L106" t="s">
        <v>40</v>
      </c>
      <c r="M106" t="s">
        <v>913</v>
      </c>
      <c r="N106" t="s">
        <v>985</v>
      </c>
      <c r="O106">
        <v>1</v>
      </c>
      <c r="P106" t="s">
        <v>920</v>
      </c>
    </row>
    <row r="107" spans="1:16" x14ac:dyDescent="0.3">
      <c r="A107">
        <v>1256</v>
      </c>
      <c r="B107" t="s">
        <v>155</v>
      </c>
      <c r="C107" t="b">
        <f t="shared" si="3"/>
        <v>0</v>
      </c>
      <c r="D107">
        <v>22</v>
      </c>
      <c r="E107" t="s">
        <v>659</v>
      </c>
      <c r="F107" t="s">
        <v>156</v>
      </c>
      <c r="G107" t="s">
        <v>817</v>
      </c>
      <c r="H107">
        <v>1</v>
      </c>
      <c r="I107" t="s">
        <v>17</v>
      </c>
      <c r="J107" s="5">
        <v>45389</v>
      </c>
      <c r="K107" s="5">
        <v>45536</v>
      </c>
      <c r="L107" t="s">
        <v>40</v>
      </c>
      <c r="M107" t="s">
        <v>910</v>
      </c>
      <c r="N107" t="s">
        <v>991</v>
      </c>
      <c r="O107">
        <v>1</v>
      </c>
      <c r="P107" t="s">
        <v>920</v>
      </c>
    </row>
    <row r="108" spans="1:16" x14ac:dyDescent="0.3">
      <c r="A108">
        <v>1419</v>
      </c>
      <c r="B108" t="s">
        <v>117</v>
      </c>
      <c r="C108">
        <f t="shared" si="3"/>
        <v>0</v>
      </c>
      <c r="D108">
        <v>0</v>
      </c>
      <c r="E108" t="s">
        <v>55</v>
      </c>
      <c r="F108" t="s">
        <v>84</v>
      </c>
      <c r="G108" t="s">
        <v>818</v>
      </c>
      <c r="H108">
        <v>2</v>
      </c>
      <c r="I108" t="s">
        <v>17</v>
      </c>
      <c r="J108" s="5">
        <v>45457</v>
      </c>
      <c r="K108" s="5">
        <v>45401</v>
      </c>
      <c r="L108" t="s">
        <v>20</v>
      </c>
      <c r="M108" t="s">
        <v>913</v>
      </c>
      <c r="N108" t="s">
        <v>976</v>
      </c>
      <c r="O108">
        <v>0</v>
      </c>
      <c r="P108" t="s">
        <v>920</v>
      </c>
    </row>
    <row r="109" spans="1:16" x14ac:dyDescent="0.3">
      <c r="A109">
        <v>1413</v>
      </c>
      <c r="B109" t="s">
        <v>107</v>
      </c>
      <c r="C109" t="b">
        <f t="shared" si="3"/>
        <v>0</v>
      </c>
      <c r="D109">
        <v>22</v>
      </c>
      <c r="E109" t="s">
        <v>55</v>
      </c>
      <c r="F109" t="s">
        <v>84</v>
      </c>
      <c r="G109" t="s">
        <v>819</v>
      </c>
      <c r="H109">
        <v>4</v>
      </c>
      <c r="I109" t="s">
        <v>17</v>
      </c>
      <c r="J109" s="5">
        <v>45355</v>
      </c>
      <c r="K109" s="5">
        <v>45368</v>
      </c>
      <c r="L109" t="s">
        <v>40</v>
      </c>
      <c r="M109" t="s">
        <v>910</v>
      </c>
      <c r="N109" t="s">
        <v>992</v>
      </c>
      <c r="O109">
        <v>1</v>
      </c>
      <c r="P109" t="s">
        <v>920</v>
      </c>
    </row>
    <row r="110" spans="1:16" x14ac:dyDescent="0.3">
      <c r="A110">
        <v>1385</v>
      </c>
      <c r="B110" t="s">
        <v>22</v>
      </c>
      <c r="C110" t="b">
        <f t="shared" si="3"/>
        <v>0</v>
      </c>
      <c r="D110">
        <v>18</v>
      </c>
      <c r="E110" t="s">
        <v>55</v>
      </c>
      <c r="F110" t="s">
        <v>84</v>
      </c>
      <c r="G110" t="s">
        <v>820</v>
      </c>
      <c r="H110">
        <v>4</v>
      </c>
      <c r="I110" t="s">
        <v>17</v>
      </c>
      <c r="J110" s="5">
        <v>45311</v>
      </c>
      <c r="K110" s="5">
        <v>45309</v>
      </c>
      <c r="L110" t="s">
        <v>40</v>
      </c>
      <c r="M110" t="s">
        <v>909</v>
      </c>
      <c r="N110" t="s">
        <v>36</v>
      </c>
      <c r="O110">
        <v>1</v>
      </c>
      <c r="P110" t="s">
        <v>920</v>
      </c>
    </row>
    <row r="111" spans="1:16" x14ac:dyDescent="0.3">
      <c r="A111">
        <v>1467</v>
      </c>
      <c r="B111" t="s">
        <v>163</v>
      </c>
      <c r="C111">
        <f t="shared" si="3"/>
        <v>0</v>
      </c>
      <c r="D111">
        <v>0</v>
      </c>
      <c r="E111" t="s">
        <v>55</v>
      </c>
      <c r="F111" t="s">
        <v>167</v>
      </c>
      <c r="G111" t="s">
        <v>821</v>
      </c>
      <c r="H111">
        <v>5</v>
      </c>
      <c r="I111" t="s">
        <v>17</v>
      </c>
      <c r="J111" s="5">
        <v>45338</v>
      </c>
      <c r="K111" s="5">
        <v>45566</v>
      </c>
      <c r="L111" t="s">
        <v>914</v>
      </c>
      <c r="M111" t="s">
        <v>909</v>
      </c>
      <c r="N111" t="s">
        <v>993</v>
      </c>
      <c r="O111">
        <v>0</v>
      </c>
      <c r="P111" t="s">
        <v>920</v>
      </c>
    </row>
    <row r="112" spans="1:16" x14ac:dyDescent="0.3">
      <c r="A112">
        <v>1324</v>
      </c>
      <c r="B112" t="s">
        <v>107</v>
      </c>
      <c r="C112" t="b">
        <f t="shared" si="3"/>
        <v>0</v>
      </c>
      <c r="D112">
        <v>19</v>
      </c>
      <c r="E112" t="s">
        <v>659</v>
      </c>
      <c r="F112" t="s">
        <v>25</v>
      </c>
      <c r="G112" t="s">
        <v>822</v>
      </c>
      <c r="H112">
        <v>1</v>
      </c>
      <c r="I112" t="s">
        <v>28</v>
      </c>
      <c r="J112" s="5">
        <v>45461</v>
      </c>
      <c r="K112" s="5">
        <v>45328</v>
      </c>
      <c r="L112" t="s">
        <v>40</v>
      </c>
      <c r="M112" t="s">
        <v>911</v>
      </c>
      <c r="N112" t="s">
        <v>994</v>
      </c>
      <c r="O112">
        <v>1</v>
      </c>
      <c r="P112" t="s">
        <v>920</v>
      </c>
    </row>
    <row r="113" spans="1:16" x14ac:dyDescent="0.3">
      <c r="A113">
        <v>1391</v>
      </c>
      <c r="B113" t="s">
        <v>12</v>
      </c>
      <c r="C113" t="b">
        <f t="shared" si="3"/>
        <v>0</v>
      </c>
      <c r="D113">
        <v>23</v>
      </c>
      <c r="E113" t="s">
        <v>24</v>
      </c>
      <c r="F113" t="s">
        <v>25</v>
      </c>
      <c r="G113" t="s">
        <v>824</v>
      </c>
      <c r="H113">
        <v>1</v>
      </c>
      <c r="I113" t="s">
        <v>28</v>
      </c>
      <c r="J113" s="5">
        <v>45407</v>
      </c>
      <c r="K113" s="5">
        <v>45295</v>
      </c>
      <c r="L113" t="s">
        <v>40</v>
      </c>
      <c r="M113" t="s">
        <v>913</v>
      </c>
      <c r="N113" t="s">
        <v>995</v>
      </c>
      <c r="O113">
        <v>1</v>
      </c>
      <c r="P113" t="s">
        <v>920</v>
      </c>
    </row>
    <row r="114" spans="1:16" x14ac:dyDescent="0.3">
      <c r="A114">
        <v>1486</v>
      </c>
      <c r="B114" t="s">
        <v>136</v>
      </c>
      <c r="C114" t="b">
        <f t="shared" si="3"/>
        <v>0</v>
      </c>
      <c r="D114">
        <v>24</v>
      </c>
      <c r="E114" t="s">
        <v>55</v>
      </c>
      <c r="F114" t="s">
        <v>25</v>
      </c>
      <c r="G114" t="s">
        <v>826</v>
      </c>
      <c r="H114">
        <v>4</v>
      </c>
      <c r="I114" t="s">
        <v>28</v>
      </c>
      <c r="J114" s="5">
        <v>45425</v>
      </c>
      <c r="K114" s="5">
        <v>45597</v>
      </c>
      <c r="L114" t="s">
        <v>40</v>
      </c>
      <c r="M114" t="s">
        <v>909</v>
      </c>
      <c r="N114" t="s">
        <v>996</v>
      </c>
      <c r="O114">
        <v>1</v>
      </c>
      <c r="P114" t="s">
        <v>920</v>
      </c>
    </row>
    <row r="115" spans="1:16" x14ac:dyDescent="0.3">
      <c r="A115">
        <v>1060</v>
      </c>
      <c r="B115" t="s">
        <v>12</v>
      </c>
      <c r="C115" t="b">
        <f t="shared" si="3"/>
        <v>0</v>
      </c>
      <c r="D115">
        <v>19</v>
      </c>
      <c r="E115" t="s">
        <v>24</v>
      </c>
      <c r="F115" t="s">
        <v>167</v>
      </c>
      <c r="G115" t="s">
        <v>827</v>
      </c>
      <c r="H115">
        <v>1</v>
      </c>
      <c r="I115" t="s">
        <v>908</v>
      </c>
      <c r="J115" s="5">
        <v>45307</v>
      </c>
      <c r="K115" s="5">
        <v>45367</v>
      </c>
      <c r="L115" t="s">
        <v>40</v>
      </c>
      <c r="M115" t="s">
        <v>910</v>
      </c>
      <c r="N115" t="s">
        <v>931</v>
      </c>
      <c r="O115">
        <v>1</v>
      </c>
      <c r="P115" t="s">
        <v>920</v>
      </c>
    </row>
    <row r="116" spans="1:16" x14ac:dyDescent="0.3">
      <c r="A116">
        <v>1321</v>
      </c>
      <c r="B116" t="s">
        <v>74</v>
      </c>
      <c r="C116" t="b">
        <f t="shared" si="3"/>
        <v>0</v>
      </c>
      <c r="D116">
        <v>19</v>
      </c>
      <c r="E116" t="s">
        <v>24</v>
      </c>
      <c r="F116" t="s">
        <v>167</v>
      </c>
      <c r="G116" t="s">
        <v>828</v>
      </c>
      <c r="H116">
        <v>4</v>
      </c>
      <c r="I116" t="s">
        <v>17</v>
      </c>
      <c r="J116" s="5">
        <v>45339</v>
      </c>
      <c r="K116" s="5">
        <v>45414</v>
      </c>
      <c r="L116" t="s">
        <v>40</v>
      </c>
      <c r="M116" t="s">
        <v>909</v>
      </c>
      <c r="N116" t="s">
        <v>997</v>
      </c>
      <c r="O116">
        <v>1</v>
      </c>
      <c r="P116" t="s">
        <v>920</v>
      </c>
    </row>
    <row r="117" spans="1:16" x14ac:dyDescent="0.3">
      <c r="A117">
        <v>1254</v>
      </c>
      <c r="B117" t="s">
        <v>117</v>
      </c>
      <c r="C117" t="b">
        <f t="shared" si="3"/>
        <v>0</v>
      </c>
      <c r="D117">
        <v>22</v>
      </c>
      <c r="E117" t="s">
        <v>55</v>
      </c>
      <c r="F117" t="s">
        <v>167</v>
      </c>
      <c r="G117" t="s">
        <v>830</v>
      </c>
      <c r="H117">
        <v>2</v>
      </c>
      <c r="I117" t="s">
        <v>28</v>
      </c>
      <c r="J117" s="5">
        <v>45345</v>
      </c>
      <c r="K117" s="5">
        <v>45350</v>
      </c>
      <c r="L117" t="s">
        <v>914</v>
      </c>
      <c r="M117" t="s">
        <v>909</v>
      </c>
      <c r="N117" t="s">
        <v>66</v>
      </c>
      <c r="O117">
        <v>0</v>
      </c>
      <c r="P117" t="s">
        <v>920</v>
      </c>
    </row>
    <row r="118" spans="1:16" x14ac:dyDescent="0.3">
      <c r="A118">
        <v>1460</v>
      </c>
      <c r="B118" t="s">
        <v>120</v>
      </c>
      <c r="C118" t="b">
        <f t="shared" si="3"/>
        <v>0</v>
      </c>
      <c r="D118">
        <v>18</v>
      </c>
      <c r="E118" t="s">
        <v>24</v>
      </c>
      <c r="F118" t="s">
        <v>156</v>
      </c>
      <c r="G118" t="s">
        <v>831</v>
      </c>
      <c r="H118">
        <v>4</v>
      </c>
      <c r="I118" t="s">
        <v>17</v>
      </c>
      <c r="J118" s="5">
        <v>45298</v>
      </c>
      <c r="K118" s="5">
        <v>45397</v>
      </c>
      <c r="L118" t="s">
        <v>69</v>
      </c>
      <c r="M118" t="s">
        <v>912</v>
      </c>
      <c r="N118" t="s">
        <v>998</v>
      </c>
      <c r="O118">
        <v>0</v>
      </c>
      <c r="P118" t="s">
        <v>920</v>
      </c>
    </row>
    <row r="119" spans="1:16" x14ac:dyDescent="0.3">
      <c r="A119">
        <v>1323</v>
      </c>
      <c r="B119" t="s">
        <v>47</v>
      </c>
      <c r="C119" t="b">
        <f t="shared" si="3"/>
        <v>0</v>
      </c>
      <c r="D119">
        <v>19</v>
      </c>
      <c r="E119" t="s">
        <v>55</v>
      </c>
      <c r="F119" t="s">
        <v>156</v>
      </c>
      <c r="G119" t="s">
        <v>832</v>
      </c>
      <c r="H119">
        <v>0</v>
      </c>
      <c r="I119" t="s">
        <v>28</v>
      </c>
      <c r="J119" s="5">
        <v>45470</v>
      </c>
      <c r="K119" s="5">
        <v>45384</v>
      </c>
      <c r="L119" t="s">
        <v>40</v>
      </c>
      <c r="M119" t="s">
        <v>912</v>
      </c>
      <c r="N119" t="s">
        <v>999</v>
      </c>
      <c r="O119">
        <v>1</v>
      </c>
      <c r="P119" t="s">
        <v>920</v>
      </c>
    </row>
    <row r="120" spans="1:16" x14ac:dyDescent="0.3">
      <c r="A120">
        <v>1300</v>
      </c>
      <c r="B120" t="s">
        <v>163</v>
      </c>
      <c r="C120" t="b">
        <f t="shared" si="3"/>
        <v>0</v>
      </c>
      <c r="D120">
        <v>22</v>
      </c>
      <c r="E120" t="s">
        <v>659</v>
      </c>
      <c r="F120" t="s">
        <v>25</v>
      </c>
      <c r="G120" t="s">
        <v>833</v>
      </c>
      <c r="H120">
        <v>5</v>
      </c>
      <c r="I120" t="s">
        <v>17</v>
      </c>
      <c r="J120" s="5">
        <v>45360</v>
      </c>
      <c r="K120" s="5">
        <v>45454</v>
      </c>
      <c r="L120" t="s">
        <v>40</v>
      </c>
      <c r="M120" t="s">
        <v>913</v>
      </c>
      <c r="N120" t="s">
        <v>1000</v>
      </c>
      <c r="O120">
        <v>1</v>
      </c>
      <c r="P120" t="s">
        <v>920</v>
      </c>
    </row>
    <row r="121" spans="1:16" x14ac:dyDescent="0.3">
      <c r="A121">
        <v>1307</v>
      </c>
      <c r="B121" t="s">
        <v>47</v>
      </c>
      <c r="C121" t="b">
        <f t="shared" si="3"/>
        <v>0</v>
      </c>
      <c r="D121">
        <v>18</v>
      </c>
      <c r="E121" t="s">
        <v>24</v>
      </c>
      <c r="F121" t="s">
        <v>156</v>
      </c>
      <c r="G121" t="s">
        <v>834</v>
      </c>
      <c r="H121">
        <v>1</v>
      </c>
      <c r="I121" t="s">
        <v>17</v>
      </c>
      <c r="J121" s="5">
        <v>45403</v>
      </c>
      <c r="K121" s="5">
        <v>45383</v>
      </c>
      <c r="L121" t="s">
        <v>40</v>
      </c>
      <c r="M121" t="s">
        <v>912</v>
      </c>
      <c r="N121" t="s">
        <v>919</v>
      </c>
      <c r="O121">
        <v>1</v>
      </c>
      <c r="P121" t="s">
        <v>920</v>
      </c>
    </row>
    <row r="122" spans="1:16" x14ac:dyDescent="0.3">
      <c r="A122">
        <v>1135</v>
      </c>
      <c r="B122" t="s">
        <v>120</v>
      </c>
      <c r="C122" t="b">
        <f t="shared" si="3"/>
        <v>0</v>
      </c>
      <c r="D122">
        <v>25</v>
      </c>
      <c r="E122" t="s">
        <v>55</v>
      </c>
      <c r="F122" t="s">
        <v>25</v>
      </c>
      <c r="G122" t="s">
        <v>835</v>
      </c>
      <c r="H122">
        <v>4</v>
      </c>
      <c r="I122" t="s">
        <v>908</v>
      </c>
      <c r="J122" s="5">
        <v>45339</v>
      </c>
      <c r="K122" s="5">
        <v>45365</v>
      </c>
      <c r="L122" t="s">
        <v>914</v>
      </c>
      <c r="M122" t="s">
        <v>912</v>
      </c>
      <c r="N122" t="s">
        <v>937</v>
      </c>
      <c r="O122">
        <v>0</v>
      </c>
      <c r="P122" t="s">
        <v>920</v>
      </c>
    </row>
    <row r="123" spans="1:16" x14ac:dyDescent="0.3">
      <c r="A123">
        <v>1486</v>
      </c>
      <c r="B123" t="s">
        <v>22</v>
      </c>
      <c r="C123">
        <f t="shared" si="3"/>
        <v>0</v>
      </c>
      <c r="D123">
        <v>0</v>
      </c>
      <c r="E123" t="s">
        <v>24</v>
      </c>
      <c r="F123" t="s">
        <v>84</v>
      </c>
      <c r="G123" t="s">
        <v>836</v>
      </c>
      <c r="H123">
        <v>5</v>
      </c>
      <c r="I123" t="s">
        <v>28</v>
      </c>
      <c r="J123" s="5">
        <v>45429</v>
      </c>
      <c r="K123" s="5">
        <v>45465</v>
      </c>
      <c r="L123" t="s">
        <v>69</v>
      </c>
      <c r="M123" t="s">
        <v>911</v>
      </c>
      <c r="N123" t="s">
        <v>1001</v>
      </c>
      <c r="O123">
        <v>0</v>
      </c>
      <c r="P123" t="s">
        <v>920</v>
      </c>
    </row>
    <row r="124" spans="1:16" x14ac:dyDescent="0.3">
      <c r="A124">
        <v>1141</v>
      </c>
      <c r="B124" t="s">
        <v>136</v>
      </c>
      <c r="C124" t="b">
        <f t="shared" si="3"/>
        <v>0</v>
      </c>
      <c r="D124">
        <v>25</v>
      </c>
      <c r="E124" t="s">
        <v>55</v>
      </c>
      <c r="F124" t="s">
        <v>25</v>
      </c>
      <c r="G124" t="s">
        <v>839</v>
      </c>
      <c r="H124">
        <v>1</v>
      </c>
      <c r="I124" t="s">
        <v>28</v>
      </c>
      <c r="J124" s="5">
        <v>45311</v>
      </c>
      <c r="K124" s="5">
        <v>45376</v>
      </c>
      <c r="L124" t="s">
        <v>20</v>
      </c>
      <c r="M124" t="s">
        <v>909</v>
      </c>
      <c r="N124" t="s">
        <v>958</v>
      </c>
      <c r="O124">
        <v>0</v>
      </c>
      <c r="P124" t="s">
        <v>920</v>
      </c>
    </row>
    <row r="125" spans="1:16" x14ac:dyDescent="0.3">
      <c r="A125">
        <v>1412</v>
      </c>
      <c r="B125" t="s">
        <v>47</v>
      </c>
      <c r="C125" t="b">
        <f t="shared" si="3"/>
        <v>0</v>
      </c>
      <c r="D125">
        <v>20</v>
      </c>
      <c r="E125" t="s">
        <v>55</v>
      </c>
      <c r="F125" t="s">
        <v>84</v>
      </c>
      <c r="G125" t="s">
        <v>840</v>
      </c>
      <c r="H125">
        <v>0</v>
      </c>
      <c r="I125" t="s">
        <v>908</v>
      </c>
      <c r="J125" s="5">
        <v>45354</v>
      </c>
      <c r="K125" s="5">
        <v>45370</v>
      </c>
      <c r="L125" t="s">
        <v>69</v>
      </c>
      <c r="M125" t="s">
        <v>913</v>
      </c>
      <c r="N125" t="s">
        <v>1002</v>
      </c>
      <c r="O125">
        <v>0</v>
      </c>
      <c r="P125" t="s">
        <v>920</v>
      </c>
    </row>
    <row r="126" spans="1:16" x14ac:dyDescent="0.3">
      <c r="A126">
        <v>1319</v>
      </c>
      <c r="B126" t="s">
        <v>155</v>
      </c>
      <c r="C126" t="b">
        <f t="shared" si="3"/>
        <v>0</v>
      </c>
      <c r="D126">
        <v>23</v>
      </c>
      <c r="E126" t="s">
        <v>55</v>
      </c>
      <c r="F126" t="s">
        <v>156</v>
      </c>
      <c r="G126" t="s">
        <v>842</v>
      </c>
      <c r="H126">
        <v>5</v>
      </c>
      <c r="I126" t="s">
        <v>17</v>
      </c>
      <c r="J126" s="5">
        <v>45333</v>
      </c>
      <c r="K126" s="5">
        <v>45447</v>
      </c>
      <c r="L126" t="s">
        <v>69</v>
      </c>
      <c r="M126" t="s">
        <v>910</v>
      </c>
      <c r="N126" t="s">
        <v>975</v>
      </c>
      <c r="O126">
        <v>0</v>
      </c>
      <c r="P126" t="s">
        <v>920</v>
      </c>
    </row>
    <row r="127" spans="1:16" x14ac:dyDescent="0.3">
      <c r="A127">
        <v>1496</v>
      </c>
      <c r="B127" t="s">
        <v>12</v>
      </c>
      <c r="C127" t="b">
        <f t="shared" si="3"/>
        <v>0</v>
      </c>
      <c r="D127">
        <v>24</v>
      </c>
      <c r="E127" t="s">
        <v>55</v>
      </c>
      <c r="F127" t="s">
        <v>25</v>
      </c>
      <c r="G127" t="s">
        <v>846</v>
      </c>
      <c r="H127">
        <v>2</v>
      </c>
      <c r="I127" t="s">
        <v>908</v>
      </c>
      <c r="J127" s="5">
        <v>45313</v>
      </c>
      <c r="K127" s="5">
        <v>45447</v>
      </c>
      <c r="L127" t="s">
        <v>40</v>
      </c>
      <c r="M127" t="s">
        <v>911</v>
      </c>
      <c r="N127" t="s">
        <v>1003</v>
      </c>
      <c r="O127">
        <v>1</v>
      </c>
      <c r="P127" t="s">
        <v>920</v>
      </c>
    </row>
    <row r="128" spans="1:16" x14ac:dyDescent="0.3">
      <c r="A128">
        <v>1424</v>
      </c>
      <c r="B128" t="s">
        <v>74</v>
      </c>
      <c r="C128" t="b">
        <f t="shared" si="3"/>
        <v>0</v>
      </c>
      <c r="D128">
        <v>22</v>
      </c>
      <c r="E128" t="s">
        <v>659</v>
      </c>
      <c r="F128" t="s">
        <v>167</v>
      </c>
      <c r="G128" t="s">
        <v>849</v>
      </c>
      <c r="H128">
        <v>5</v>
      </c>
      <c r="I128" t="s">
        <v>908</v>
      </c>
      <c r="J128" s="5">
        <v>45310</v>
      </c>
      <c r="K128" s="5">
        <v>45383</v>
      </c>
      <c r="L128" t="s">
        <v>20</v>
      </c>
      <c r="M128" t="s">
        <v>913</v>
      </c>
      <c r="N128" t="s">
        <v>940</v>
      </c>
      <c r="O128">
        <v>0</v>
      </c>
      <c r="P128" t="s">
        <v>920</v>
      </c>
    </row>
    <row r="129" spans="1:16" x14ac:dyDescent="0.3">
      <c r="A129">
        <v>1472</v>
      </c>
      <c r="B129" t="s">
        <v>22</v>
      </c>
      <c r="C129" t="b">
        <f t="shared" si="3"/>
        <v>0</v>
      </c>
      <c r="D129">
        <v>22</v>
      </c>
      <c r="E129" t="s">
        <v>659</v>
      </c>
      <c r="F129" t="s">
        <v>84</v>
      </c>
      <c r="G129" t="s">
        <v>850</v>
      </c>
      <c r="H129">
        <v>4</v>
      </c>
      <c r="I129" t="s">
        <v>908</v>
      </c>
      <c r="J129" s="5">
        <v>45324</v>
      </c>
      <c r="K129" s="5">
        <v>45366</v>
      </c>
      <c r="L129" t="s">
        <v>20</v>
      </c>
      <c r="M129" t="s">
        <v>912</v>
      </c>
      <c r="N129" t="s">
        <v>1004</v>
      </c>
      <c r="O129">
        <v>0</v>
      </c>
      <c r="P129" t="s">
        <v>920</v>
      </c>
    </row>
    <row r="130" spans="1:16" x14ac:dyDescent="0.3">
      <c r="A130">
        <v>1372</v>
      </c>
      <c r="B130" t="s">
        <v>120</v>
      </c>
      <c r="C130">
        <f t="shared" ref="C130:C161" si="4">IF(OR(D130=0, D130&lt;0, D130&gt;80, ISBLANK(D130)), D130)</f>
        <v>0</v>
      </c>
      <c r="D130">
        <v>0</v>
      </c>
      <c r="E130" t="s">
        <v>24</v>
      </c>
      <c r="F130" t="s">
        <v>25</v>
      </c>
      <c r="G130" t="s">
        <v>851</v>
      </c>
      <c r="H130">
        <v>2</v>
      </c>
      <c r="I130" t="s">
        <v>908</v>
      </c>
      <c r="J130" s="5">
        <v>45343</v>
      </c>
      <c r="K130" s="5">
        <v>45308</v>
      </c>
      <c r="L130" t="s">
        <v>40</v>
      </c>
      <c r="M130" t="s">
        <v>912</v>
      </c>
      <c r="N130" t="s">
        <v>926</v>
      </c>
      <c r="O130">
        <v>1</v>
      </c>
      <c r="P130" t="s">
        <v>920</v>
      </c>
    </row>
    <row r="131" spans="1:16" x14ac:dyDescent="0.3">
      <c r="A131">
        <v>1250</v>
      </c>
      <c r="B131" t="s">
        <v>47</v>
      </c>
      <c r="C131">
        <f t="shared" si="4"/>
        <v>0</v>
      </c>
      <c r="D131">
        <v>0</v>
      </c>
      <c r="E131" t="s">
        <v>24</v>
      </c>
      <c r="F131" t="s">
        <v>25</v>
      </c>
      <c r="G131" t="s">
        <v>852</v>
      </c>
      <c r="H131">
        <v>3</v>
      </c>
      <c r="I131" t="s">
        <v>17</v>
      </c>
      <c r="J131" s="5">
        <v>45312</v>
      </c>
      <c r="K131" s="5">
        <v>45357</v>
      </c>
      <c r="L131" t="s">
        <v>69</v>
      </c>
      <c r="M131" t="s">
        <v>910</v>
      </c>
      <c r="N131" t="s">
        <v>1005</v>
      </c>
      <c r="O131">
        <v>0</v>
      </c>
      <c r="P131" t="s">
        <v>920</v>
      </c>
    </row>
    <row r="132" spans="1:16" x14ac:dyDescent="0.3">
      <c r="A132">
        <v>1447</v>
      </c>
      <c r="B132" t="s">
        <v>22</v>
      </c>
      <c r="C132" t="b">
        <f t="shared" si="4"/>
        <v>0</v>
      </c>
      <c r="D132">
        <v>22</v>
      </c>
      <c r="E132" t="s">
        <v>24</v>
      </c>
      <c r="F132" t="s">
        <v>25</v>
      </c>
      <c r="G132" t="s">
        <v>853</v>
      </c>
      <c r="H132">
        <v>5</v>
      </c>
      <c r="I132" t="s">
        <v>908</v>
      </c>
      <c r="J132" s="5">
        <v>45378</v>
      </c>
      <c r="K132" s="5">
        <v>45326</v>
      </c>
      <c r="L132" t="s">
        <v>69</v>
      </c>
      <c r="M132" t="s">
        <v>911</v>
      </c>
      <c r="N132" t="s">
        <v>1006</v>
      </c>
      <c r="O132">
        <v>0</v>
      </c>
      <c r="P132" t="s">
        <v>920</v>
      </c>
    </row>
    <row r="133" spans="1:16" x14ac:dyDescent="0.3">
      <c r="A133">
        <v>1493</v>
      </c>
      <c r="B133" t="s">
        <v>74</v>
      </c>
      <c r="C133" t="b">
        <f t="shared" si="4"/>
        <v>0</v>
      </c>
      <c r="D133">
        <v>23</v>
      </c>
      <c r="E133" t="s">
        <v>659</v>
      </c>
      <c r="F133" t="s">
        <v>25</v>
      </c>
      <c r="G133" t="s">
        <v>855</v>
      </c>
      <c r="H133">
        <v>5</v>
      </c>
      <c r="I133" t="s">
        <v>908</v>
      </c>
      <c r="J133" s="5">
        <v>45537</v>
      </c>
      <c r="K133" s="5">
        <v>45376</v>
      </c>
      <c r="L133" t="s">
        <v>20</v>
      </c>
      <c r="M133" t="s">
        <v>911</v>
      </c>
      <c r="N133" t="s">
        <v>1007</v>
      </c>
      <c r="O133">
        <v>0</v>
      </c>
      <c r="P133" t="s">
        <v>920</v>
      </c>
    </row>
    <row r="134" spans="1:16" x14ac:dyDescent="0.3">
      <c r="A134">
        <v>1077</v>
      </c>
      <c r="B134" t="s">
        <v>120</v>
      </c>
      <c r="C134" t="b">
        <f t="shared" si="4"/>
        <v>0</v>
      </c>
      <c r="D134">
        <v>25</v>
      </c>
      <c r="E134" t="s">
        <v>24</v>
      </c>
      <c r="F134" t="s">
        <v>156</v>
      </c>
      <c r="G134" t="s">
        <v>856</v>
      </c>
      <c r="H134">
        <v>3</v>
      </c>
      <c r="I134" t="s">
        <v>28</v>
      </c>
      <c r="J134" s="5">
        <v>45385</v>
      </c>
      <c r="K134" s="5">
        <v>45354</v>
      </c>
      <c r="L134" t="s">
        <v>20</v>
      </c>
      <c r="M134" t="s">
        <v>912</v>
      </c>
      <c r="N134" t="s">
        <v>988</v>
      </c>
      <c r="O134">
        <v>0</v>
      </c>
      <c r="P134" t="s">
        <v>920</v>
      </c>
    </row>
    <row r="135" spans="1:16" x14ac:dyDescent="0.3">
      <c r="A135">
        <v>1008</v>
      </c>
      <c r="B135" t="s">
        <v>12</v>
      </c>
      <c r="C135" t="b">
        <f t="shared" si="4"/>
        <v>0</v>
      </c>
      <c r="D135">
        <v>21</v>
      </c>
      <c r="E135" t="s">
        <v>24</v>
      </c>
      <c r="F135" t="s">
        <v>156</v>
      </c>
      <c r="G135" t="s">
        <v>857</v>
      </c>
      <c r="H135">
        <v>2</v>
      </c>
      <c r="I135" t="s">
        <v>28</v>
      </c>
      <c r="J135" s="5">
        <v>45398</v>
      </c>
      <c r="K135" s="5">
        <v>45429</v>
      </c>
      <c r="L135" t="s">
        <v>40</v>
      </c>
      <c r="M135" t="s">
        <v>913</v>
      </c>
      <c r="N135" t="s">
        <v>988</v>
      </c>
      <c r="O135">
        <v>1</v>
      </c>
      <c r="P135" t="s">
        <v>920</v>
      </c>
    </row>
    <row r="136" spans="1:16" x14ac:dyDescent="0.3">
      <c r="A136">
        <v>1206</v>
      </c>
      <c r="B136" t="s">
        <v>32</v>
      </c>
      <c r="C136" t="b">
        <f t="shared" si="4"/>
        <v>0</v>
      </c>
      <c r="D136">
        <v>22</v>
      </c>
      <c r="E136" t="s">
        <v>24</v>
      </c>
      <c r="F136" t="s">
        <v>25</v>
      </c>
      <c r="G136" t="s">
        <v>858</v>
      </c>
      <c r="H136">
        <v>5</v>
      </c>
      <c r="I136" t="s">
        <v>908</v>
      </c>
      <c r="J136" s="5">
        <v>45438</v>
      </c>
      <c r="K136" s="5">
        <v>45372</v>
      </c>
      <c r="L136" t="s">
        <v>69</v>
      </c>
      <c r="M136" t="s">
        <v>912</v>
      </c>
      <c r="N136" t="s">
        <v>1008</v>
      </c>
      <c r="O136">
        <v>0</v>
      </c>
      <c r="P136" t="s">
        <v>920</v>
      </c>
    </row>
    <row r="137" spans="1:16" x14ac:dyDescent="0.3">
      <c r="A137">
        <v>1065</v>
      </c>
      <c r="B137" t="s">
        <v>32</v>
      </c>
      <c r="C137" t="b">
        <f t="shared" si="4"/>
        <v>0</v>
      </c>
      <c r="D137">
        <v>19</v>
      </c>
      <c r="E137" t="s">
        <v>659</v>
      </c>
      <c r="F137" t="s">
        <v>167</v>
      </c>
      <c r="G137" t="s">
        <v>860</v>
      </c>
      <c r="H137">
        <v>2</v>
      </c>
      <c r="I137" t="s">
        <v>17</v>
      </c>
      <c r="J137" s="5">
        <v>45387</v>
      </c>
      <c r="K137" s="5">
        <v>45310</v>
      </c>
      <c r="L137" t="s">
        <v>40</v>
      </c>
      <c r="M137" t="s">
        <v>912</v>
      </c>
      <c r="N137" t="s">
        <v>962</v>
      </c>
      <c r="O137">
        <v>1</v>
      </c>
      <c r="P137" t="s">
        <v>920</v>
      </c>
    </row>
    <row r="138" spans="1:16" x14ac:dyDescent="0.3">
      <c r="A138">
        <v>1222</v>
      </c>
      <c r="B138" t="s">
        <v>136</v>
      </c>
      <c r="C138" t="b">
        <f t="shared" si="4"/>
        <v>0</v>
      </c>
      <c r="D138">
        <v>21</v>
      </c>
      <c r="E138" t="s">
        <v>55</v>
      </c>
      <c r="F138" t="s">
        <v>167</v>
      </c>
      <c r="G138" t="s">
        <v>861</v>
      </c>
      <c r="H138">
        <v>4</v>
      </c>
      <c r="I138" t="s">
        <v>28</v>
      </c>
      <c r="J138" s="5">
        <v>45301</v>
      </c>
      <c r="K138" s="5">
        <v>45370</v>
      </c>
      <c r="L138" t="s">
        <v>40</v>
      </c>
      <c r="M138" t="s">
        <v>913</v>
      </c>
      <c r="N138" t="s">
        <v>1009</v>
      </c>
      <c r="O138">
        <v>1</v>
      </c>
      <c r="P138" t="s">
        <v>920</v>
      </c>
    </row>
    <row r="139" spans="1:16" x14ac:dyDescent="0.3">
      <c r="A139">
        <v>1198</v>
      </c>
      <c r="B139" t="s">
        <v>117</v>
      </c>
      <c r="C139" t="b">
        <f t="shared" si="4"/>
        <v>0</v>
      </c>
      <c r="D139">
        <v>22</v>
      </c>
      <c r="E139" t="s">
        <v>55</v>
      </c>
      <c r="F139" t="s">
        <v>156</v>
      </c>
      <c r="G139" t="s">
        <v>862</v>
      </c>
      <c r="H139">
        <v>1</v>
      </c>
      <c r="I139" t="s">
        <v>908</v>
      </c>
      <c r="J139" s="5">
        <v>45344</v>
      </c>
      <c r="K139" s="5">
        <v>45383</v>
      </c>
      <c r="L139" t="s">
        <v>20</v>
      </c>
      <c r="M139" t="s">
        <v>910</v>
      </c>
      <c r="N139" t="s">
        <v>1010</v>
      </c>
      <c r="O139">
        <v>0</v>
      </c>
      <c r="P139" t="s">
        <v>920</v>
      </c>
    </row>
    <row r="140" spans="1:16" x14ac:dyDescent="0.3">
      <c r="A140">
        <v>1040</v>
      </c>
      <c r="B140" t="s">
        <v>120</v>
      </c>
      <c r="C140" t="b">
        <f t="shared" si="4"/>
        <v>0</v>
      </c>
      <c r="D140">
        <v>21</v>
      </c>
      <c r="E140" t="s">
        <v>55</v>
      </c>
      <c r="F140" t="s">
        <v>84</v>
      </c>
      <c r="G140" t="s">
        <v>863</v>
      </c>
      <c r="H140">
        <v>4</v>
      </c>
      <c r="I140" t="s">
        <v>28</v>
      </c>
      <c r="J140" s="5">
        <v>45404</v>
      </c>
      <c r="K140" s="5">
        <v>45355</v>
      </c>
      <c r="L140" t="s">
        <v>40</v>
      </c>
      <c r="M140" t="s">
        <v>913</v>
      </c>
      <c r="N140" t="s">
        <v>978</v>
      </c>
      <c r="O140">
        <v>1</v>
      </c>
      <c r="P140" t="s">
        <v>920</v>
      </c>
    </row>
    <row r="141" spans="1:16" x14ac:dyDescent="0.3">
      <c r="A141">
        <v>1375</v>
      </c>
      <c r="B141" t="s">
        <v>74</v>
      </c>
      <c r="C141" t="b">
        <f t="shared" si="4"/>
        <v>0</v>
      </c>
      <c r="D141">
        <v>19</v>
      </c>
      <c r="E141" t="s">
        <v>55</v>
      </c>
      <c r="F141" t="s">
        <v>156</v>
      </c>
      <c r="G141" t="s">
        <v>864</v>
      </c>
      <c r="H141">
        <v>0</v>
      </c>
      <c r="I141" t="s">
        <v>17</v>
      </c>
      <c r="J141" s="5">
        <v>45475</v>
      </c>
      <c r="K141" s="5">
        <v>45339</v>
      </c>
      <c r="L141" t="s">
        <v>40</v>
      </c>
      <c r="M141" t="s">
        <v>912</v>
      </c>
      <c r="N141" t="s">
        <v>972</v>
      </c>
      <c r="O141">
        <v>1</v>
      </c>
      <c r="P141" t="s">
        <v>920</v>
      </c>
    </row>
    <row r="142" spans="1:16" x14ac:dyDescent="0.3">
      <c r="A142">
        <v>1458</v>
      </c>
      <c r="B142" t="s">
        <v>22</v>
      </c>
      <c r="C142" t="b">
        <f t="shared" si="4"/>
        <v>0</v>
      </c>
      <c r="D142">
        <v>21</v>
      </c>
      <c r="E142" t="s">
        <v>55</v>
      </c>
      <c r="F142" t="s">
        <v>25</v>
      </c>
      <c r="G142" t="s">
        <v>865</v>
      </c>
      <c r="H142">
        <v>1</v>
      </c>
      <c r="I142" t="s">
        <v>28</v>
      </c>
      <c r="J142" s="5">
        <v>45471</v>
      </c>
      <c r="K142" s="5">
        <v>45295</v>
      </c>
      <c r="L142" t="s">
        <v>69</v>
      </c>
      <c r="M142" t="s">
        <v>910</v>
      </c>
      <c r="N142" t="s">
        <v>1011</v>
      </c>
      <c r="O142">
        <v>0</v>
      </c>
      <c r="P142" t="s">
        <v>920</v>
      </c>
    </row>
    <row r="143" spans="1:16" x14ac:dyDescent="0.3">
      <c r="A143">
        <v>1076</v>
      </c>
      <c r="B143" t="s">
        <v>22</v>
      </c>
      <c r="C143" t="b">
        <f t="shared" si="4"/>
        <v>0</v>
      </c>
      <c r="D143">
        <v>23</v>
      </c>
      <c r="E143" t="s">
        <v>55</v>
      </c>
      <c r="F143" t="s">
        <v>25</v>
      </c>
      <c r="G143" t="s">
        <v>866</v>
      </c>
      <c r="H143">
        <v>2</v>
      </c>
      <c r="I143" t="s">
        <v>17</v>
      </c>
      <c r="J143" s="5">
        <v>45352</v>
      </c>
      <c r="K143" s="5">
        <v>45407</v>
      </c>
      <c r="L143" t="s">
        <v>69</v>
      </c>
      <c r="M143" t="s">
        <v>909</v>
      </c>
      <c r="N143" t="s">
        <v>1012</v>
      </c>
      <c r="O143">
        <v>0</v>
      </c>
      <c r="P143" t="s">
        <v>920</v>
      </c>
    </row>
    <row r="144" spans="1:16" x14ac:dyDescent="0.3">
      <c r="A144">
        <v>1153</v>
      </c>
      <c r="B144" t="s">
        <v>163</v>
      </c>
      <c r="C144">
        <f t="shared" si="4"/>
        <v>0</v>
      </c>
      <c r="D144">
        <v>0</v>
      </c>
      <c r="E144" t="s">
        <v>55</v>
      </c>
      <c r="F144" t="s">
        <v>167</v>
      </c>
      <c r="G144" t="s">
        <v>868</v>
      </c>
      <c r="H144">
        <v>1</v>
      </c>
      <c r="I144" t="s">
        <v>17</v>
      </c>
      <c r="J144" s="5">
        <v>45390</v>
      </c>
      <c r="K144" s="5">
        <v>45357</v>
      </c>
      <c r="L144" t="s">
        <v>914</v>
      </c>
      <c r="M144" t="s">
        <v>913</v>
      </c>
      <c r="N144" t="s">
        <v>957</v>
      </c>
      <c r="O144">
        <v>0</v>
      </c>
      <c r="P144" t="s">
        <v>920</v>
      </c>
    </row>
    <row r="145" spans="1:16" x14ac:dyDescent="0.3">
      <c r="A145">
        <v>1490</v>
      </c>
      <c r="B145" t="s">
        <v>120</v>
      </c>
      <c r="C145" t="b">
        <f t="shared" si="4"/>
        <v>0</v>
      </c>
      <c r="D145">
        <v>24</v>
      </c>
      <c r="E145" t="s">
        <v>55</v>
      </c>
      <c r="F145" t="s">
        <v>84</v>
      </c>
      <c r="G145" t="s">
        <v>869</v>
      </c>
      <c r="H145">
        <v>4</v>
      </c>
      <c r="I145" t="s">
        <v>28</v>
      </c>
      <c r="J145" s="5">
        <v>45438</v>
      </c>
      <c r="K145" s="5">
        <v>45383</v>
      </c>
      <c r="L145" t="s">
        <v>40</v>
      </c>
      <c r="M145" t="s">
        <v>913</v>
      </c>
      <c r="N145" t="s">
        <v>1012</v>
      </c>
      <c r="O145">
        <v>1</v>
      </c>
      <c r="P145" t="s">
        <v>920</v>
      </c>
    </row>
    <row r="146" spans="1:16" x14ac:dyDescent="0.3">
      <c r="A146">
        <v>1497</v>
      </c>
      <c r="B146" t="s">
        <v>163</v>
      </c>
      <c r="C146" t="b">
        <f t="shared" si="4"/>
        <v>0</v>
      </c>
      <c r="D146">
        <v>24</v>
      </c>
      <c r="E146" t="s">
        <v>24</v>
      </c>
      <c r="F146" t="s">
        <v>25</v>
      </c>
      <c r="G146" t="s">
        <v>871</v>
      </c>
      <c r="H146">
        <v>2</v>
      </c>
      <c r="I146" t="s">
        <v>908</v>
      </c>
      <c r="J146" s="5">
        <v>45292</v>
      </c>
      <c r="K146" s="5">
        <v>45431</v>
      </c>
      <c r="L146" t="s">
        <v>40</v>
      </c>
      <c r="M146" t="s">
        <v>909</v>
      </c>
      <c r="N146" t="s">
        <v>1013</v>
      </c>
      <c r="O146">
        <v>1</v>
      </c>
      <c r="P146" t="s">
        <v>920</v>
      </c>
    </row>
    <row r="147" spans="1:16" x14ac:dyDescent="0.3">
      <c r="A147">
        <v>1247</v>
      </c>
      <c r="B147" t="s">
        <v>22</v>
      </c>
      <c r="C147" t="b">
        <f t="shared" si="4"/>
        <v>0</v>
      </c>
      <c r="D147">
        <v>24</v>
      </c>
      <c r="E147" t="s">
        <v>659</v>
      </c>
      <c r="F147" t="s">
        <v>156</v>
      </c>
      <c r="G147" t="s">
        <v>877</v>
      </c>
      <c r="H147">
        <v>4</v>
      </c>
      <c r="I147" t="s">
        <v>17</v>
      </c>
      <c r="J147" s="5">
        <v>45398</v>
      </c>
      <c r="K147" s="5">
        <v>45296</v>
      </c>
      <c r="L147" t="s">
        <v>20</v>
      </c>
      <c r="M147" t="s">
        <v>909</v>
      </c>
      <c r="N147" t="s">
        <v>970</v>
      </c>
      <c r="O147">
        <v>0</v>
      </c>
      <c r="P147" t="s">
        <v>920</v>
      </c>
    </row>
    <row r="148" spans="1:16" x14ac:dyDescent="0.3">
      <c r="A148">
        <v>1169</v>
      </c>
      <c r="B148" t="s">
        <v>136</v>
      </c>
      <c r="C148" t="b">
        <f t="shared" si="4"/>
        <v>0</v>
      </c>
      <c r="D148">
        <v>22</v>
      </c>
      <c r="E148" t="s">
        <v>24</v>
      </c>
      <c r="F148" t="s">
        <v>167</v>
      </c>
      <c r="G148" t="s">
        <v>878</v>
      </c>
      <c r="H148">
        <v>5</v>
      </c>
      <c r="I148" t="s">
        <v>28</v>
      </c>
      <c r="J148" s="5">
        <v>45437</v>
      </c>
      <c r="K148" s="5">
        <v>45295</v>
      </c>
      <c r="L148" t="s">
        <v>40</v>
      </c>
      <c r="M148" t="s">
        <v>911</v>
      </c>
      <c r="N148" t="s">
        <v>1014</v>
      </c>
      <c r="O148">
        <v>1</v>
      </c>
      <c r="P148" t="s">
        <v>920</v>
      </c>
    </row>
    <row r="149" spans="1:16" x14ac:dyDescent="0.3">
      <c r="A149">
        <v>1440</v>
      </c>
      <c r="B149" t="s">
        <v>47</v>
      </c>
      <c r="C149" t="b">
        <f t="shared" si="4"/>
        <v>0</v>
      </c>
      <c r="D149">
        <v>18</v>
      </c>
      <c r="E149" t="s">
        <v>24</v>
      </c>
      <c r="F149" t="s">
        <v>167</v>
      </c>
      <c r="G149" t="s">
        <v>880</v>
      </c>
      <c r="H149">
        <v>3</v>
      </c>
      <c r="I149" t="s">
        <v>28</v>
      </c>
      <c r="J149" s="5">
        <v>45326</v>
      </c>
      <c r="K149" s="5">
        <v>45431</v>
      </c>
      <c r="L149" t="s">
        <v>40</v>
      </c>
      <c r="M149" t="s">
        <v>912</v>
      </c>
      <c r="N149" t="s">
        <v>1015</v>
      </c>
      <c r="O149">
        <v>1</v>
      </c>
      <c r="P149" t="s">
        <v>920</v>
      </c>
    </row>
    <row r="150" spans="1:16" x14ac:dyDescent="0.3">
      <c r="A150">
        <v>1471</v>
      </c>
      <c r="B150" t="s">
        <v>107</v>
      </c>
      <c r="C150">
        <f t="shared" si="4"/>
        <v>0</v>
      </c>
      <c r="D150">
        <v>0</v>
      </c>
      <c r="E150" t="s">
        <v>55</v>
      </c>
      <c r="F150" t="s">
        <v>84</v>
      </c>
      <c r="G150" t="s">
        <v>881</v>
      </c>
      <c r="H150">
        <v>4</v>
      </c>
      <c r="I150" t="s">
        <v>908</v>
      </c>
      <c r="J150" s="5">
        <v>45457</v>
      </c>
      <c r="K150" s="5">
        <v>45294</v>
      </c>
      <c r="L150" t="s">
        <v>40</v>
      </c>
      <c r="M150" t="s">
        <v>913</v>
      </c>
      <c r="N150" t="s">
        <v>1016</v>
      </c>
      <c r="O150">
        <v>1</v>
      </c>
      <c r="P150" t="s">
        <v>920</v>
      </c>
    </row>
    <row r="151" spans="1:16" x14ac:dyDescent="0.3">
      <c r="A151">
        <v>1003</v>
      </c>
      <c r="B151" t="s">
        <v>120</v>
      </c>
      <c r="C151" t="b">
        <f t="shared" si="4"/>
        <v>0</v>
      </c>
      <c r="D151">
        <v>19</v>
      </c>
      <c r="E151" t="s">
        <v>24</v>
      </c>
      <c r="F151" t="s">
        <v>156</v>
      </c>
      <c r="G151" t="s">
        <v>884</v>
      </c>
      <c r="H151">
        <v>4</v>
      </c>
      <c r="I151" t="s">
        <v>17</v>
      </c>
      <c r="J151" s="5">
        <v>45366</v>
      </c>
      <c r="K151" s="5">
        <v>45427</v>
      </c>
      <c r="L151" t="s">
        <v>914</v>
      </c>
      <c r="M151" t="s">
        <v>910</v>
      </c>
      <c r="N151" t="s">
        <v>961</v>
      </c>
      <c r="O151">
        <v>0</v>
      </c>
      <c r="P151" t="s">
        <v>920</v>
      </c>
    </row>
    <row r="152" spans="1:16" x14ac:dyDescent="0.3">
      <c r="A152">
        <v>1088</v>
      </c>
      <c r="B152" t="s">
        <v>163</v>
      </c>
      <c r="C152" t="b">
        <f t="shared" si="4"/>
        <v>0</v>
      </c>
      <c r="D152">
        <v>21</v>
      </c>
      <c r="E152" t="s">
        <v>55</v>
      </c>
      <c r="F152" t="s">
        <v>84</v>
      </c>
      <c r="G152" t="s">
        <v>886</v>
      </c>
      <c r="H152">
        <v>1</v>
      </c>
      <c r="I152" t="s">
        <v>76</v>
      </c>
      <c r="J152" s="5">
        <v>45384</v>
      </c>
      <c r="K152" s="5">
        <v>45365</v>
      </c>
      <c r="L152" t="s">
        <v>914</v>
      </c>
      <c r="M152" t="s">
        <v>909</v>
      </c>
      <c r="N152" t="s">
        <v>922</v>
      </c>
      <c r="O152">
        <v>0</v>
      </c>
      <c r="P152" t="s">
        <v>920</v>
      </c>
    </row>
    <row r="153" spans="1:16" x14ac:dyDescent="0.3">
      <c r="A153">
        <v>1238</v>
      </c>
      <c r="B153" t="s">
        <v>107</v>
      </c>
      <c r="C153" t="b">
        <f t="shared" si="4"/>
        <v>0</v>
      </c>
      <c r="D153">
        <v>21</v>
      </c>
      <c r="E153" t="s">
        <v>55</v>
      </c>
      <c r="F153" t="s">
        <v>25</v>
      </c>
      <c r="G153" t="s">
        <v>887</v>
      </c>
      <c r="H153">
        <v>5</v>
      </c>
      <c r="I153" t="s">
        <v>908</v>
      </c>
      <c r="J153" s="5">
        <v>45329</v>
      </c>
      <c r="K153" s="5">
        <v>45409</v>
      </c>
      <c r="L153" t="s">
        <v>40</v>
      </c>
      <c r="M153" t="s">
        <v>909</v>
      </c>
      <c r="N153" t="s">
        <v>1017</v>
      </c>
      <c r="O153">
        <v>1</v>
      </c>
      <c r="P153" t="s">
        <v>920</v>
      </c>
    </row>
    <row r="154" spans="1:16" x14ac:dyDescent="0.3">
      <c r="A154">
        <v>1097</v>
      </c>
      <c r="B154" t="s">
        <v>22</v>
      </c>
      <c r="C154" t="b">
        <f t="shared" si="4"/>
        <v>0</v>
      </c>
      <c r="D154">
        <v>18</v>
      </c>
      <c r="E154" t="s">
        <v>55</v>
      </c>
      <c r="F154" t="s">
        <v>84</v>
      </c>
      <c r="G154" t="s">
        <v>890</v>
      </c>
      <c r="H154">
        <v>4</v>
      </c>
      <c r="I154" t="s">
        <v>908</v>
      </c>
      <c r="J154" s="5">
        <v>45462</v>
      </c>
      <c r="K154" s="5">
        <v>45407</v>
      </c>
      <c r="L154" t="s">
        <v>40</v>
      </c>
      <c r="M154" t="s">
        <v>912</v>
      </c>
      <c r="N154" t="s">
        <v>1012</v>
      </c>
      <c r="O154">
        <v>1</v>
      </c>
      <c r="P154" t="s">
        <v>920</v>
      </c>
    </row>
    <row r="155" spans="1:16" x14ac:dyDescent="0.3">
      <c r="A155">
        <v>1050</v>
      </c>
      <c r="B155" t="s">
        <v>136</v>
      </c>
      <c r="C155" t="b">
        <f t="shared" si="4"/>
        <v>0</v>
      </c>
      <c r="D155">
        <v>19</v>
      </c>
      <c r="E155" t="s">
        <v>24</v>
      </c>
      <c r="F155" t="s">
        <v>25</v>
      </c>
      <c r="G155" t="s">
        <v>891</v>
      </c>
      <c r="H155">
        <v>5</v>
      </c>
      <c r="I155" t="s">
        <v>908</v>
      </c>
      <c r="J155" s="5">
        <v>45450</v>
      </c>
      <c r="K155" s="5">
        <v>45387</v>
      </c>
      <c r="L155" t="s">
        <v>40</v>
      </c>
      <c r="M155" t="s">
        <v>913</v>
      </c>
      <c r="N155" t="s">
        <v>934</v>
      </c>
      <c r="O155">
        <v>1</v>
      </c>
      <c r="P155" t="s">
        <v>920</v>
      </c>
    </row>
    <row r="156" spans="1:16" x14ac:dyDescent="0.3">
      <c r="A156">
        <v>1357</v>
      </c>
      <c r="B156" t="s">
        <v>117</v>
      </c>
      <c r="C156" t="b">
        <f t="shared" si="4"/>
        <v>0</v>
      </c>
      <c r="D156">
        <v>25</v>
      </c>
      <c r="E156" t="s">
        <v>24</v>
      </c>
      <c r="F156" t="s">
        <v>84</v>
      </c>
      <c r="G156" t="s">
        <v>892</v>
      </c>
      <c r="H156">
        <v>1</v>
      </c>
      <c r="I156" t="s">
        <v>76</v>
      </c>
      <c r="J156" s="5">
        <v>45313</v>
      </c>
      <c r="K156" s="5">
        <v>45408</v>
      </c>
      <c r="L156" t="s">
        <v>69</v>
      </c>
      <c r="M156" t="s">
        <v>912</v>
      </c>
      <c r="N156" t="s">
        <v>1018</v>
      </c>
      <c r="O156">
        <v>0</v>
      </c>
      <c r="P156" t="s">
        <v>920</v>
      </c>
    </row>
    <row r="157" spans="1:16" x14ac:dyDescent="0.3">
      <c r="A157">
        <v>1146</v>
      </c>
      <c r="B157" t="s">
        <v>32</v>
      </c>
      <c r="C157" t="b">
        <f t="shared" si="4"/>
        <v>0</v>
      </c>
      <c r="D157">
        <v>21</v>
      </c>
      <c r="E157" t="s">
        <v>55</v>
      </c>
      <c r="F157" t="s">
        <v>25</v>
      </c>
      <c r="G157" t="s">
        <v>894</v>
      </c>
      <c r="H157">
        <v>2</v>
      </c>
      <c r="I157" t="s">
        <v>28</v>
      </c>
      <c r="J157" s="5">
        <v>45398</v>
      </c>
      <c r="K157" s="5">
        <v>45354</v>
      </c>
      <c r="L157" t="s">
        <v>40</v>
      </c>
      <c r="M157" t="s">
        <v>910</v>
      </c>
      <c r="N157" t="s">
        <v>969</v>
      </c>
      <c r="O157">
        <v>1</v>
      </c>
      <c r="P157" t="s">
        <v>920</v>
      </c>
    </row>
    <row r="158" spans="1:16" x14ac:dyDescent="0.3">
      <c r="A158">
        <v>1045</v>
      </c>
      <c r="B158" t="s">
        <v>22</v>
      </c>
      <c r="C158">
        <f t="shared" si="4"/>
        <v>0</v>
      </c>
      <c r="D158">
        <v>0</v>
      </c>
      <c r="E158" t="s">
        <v>55</v>
      </c>
      <c r="F158" t="s">
        <v>156</v>
      </c>
      <c r="G158" t="s">
        <v>896</v>
      </c>
      <c r="H158">
        <v>5</v>
      </c>
      <c r="I158" t="s">
        <v>17</v>
      </c>
      <c r="J158" s="5">
        <v>45332</v>
      </c>
      <c r="K158" s="5">
        <v>45314</v>
      </c>
      <c r="L158" t="s">
        <v>69</v>
      </c>
      <c r="M158" t="s">
        <v>913</v>
      </c>
      <c r="N158" t="s">
        <v>1019</v>
      </c>
      <c r="O158">
        <v>0</v>
      </c>
      <c r="P158" t="s">
        <v>920</v>
      </c>
    </row>
    <row r="159" spans="1:16" x14ac:dyDescent="0.3">
      <c r="A159">
        <v>1018</v>
      </c>
      <c r="B159" t="s">
        <v>120</v>
      </c>
      <c r="C159" t="b">
        <f t="shared" si="4"/>
        <v>0</v>
      </c>
      <c r="D159">
        <v>20</v>
      </c>
      <c r="E159" t="s">
        <v>24</v>
      </c>
      <c r="F159" t="s">
        <v>156</v>
      </c>
      <c r="G159" t="s">
        <v>899</v>
      </c>
      <c r="H159">
        <v>5</v>
      </c>
      <c r="I159" t="s">
        <v>28</v>
      </c>
      <c r="J159" s="5">
        <v>45415</v>
      </c>
      <c r="K159" s="5">
        <v>45384</v>
      </c>
      <c r="L159" t="s">
        <v>40</v>
      </c>
      <c r="M159" t="s">
        <v>913</v>
      </c>
      <c r="N159" t="s">
        <v>988</v>
      </c>
      <c r="O159">
        <v>1</v>
      </c>
      <c r="P159" t="s">
        <v>920</v>
      </c>
    </row>
    <row r="160" spans="1:16" x14ac:dyDescent="0.3">
      <c r="A160">
        <v>1475</v>
      </c>
      <c r="B160" t="s">
        <v>22</v>
      </c>
      <c r="C160" t="b">
        <f t="shared" si="4"/>
        <v>0</v>
      </c>
      <c r="D160">
        <v>23</v>
      </c>
      <c r="E160" t="s">
        <v>55</v>
      </c>
      <c r="F160" t="s">
        <v>167</v>
      </c>
      <c r="G160" t="s">
        <v>900</v>
      </c>
      <c r="H160">
        <v>4</v>
      </c>
      <c r="I160" t="s">
        <v>908</v>
      </c>
      <c r="J160" s="5">
        <v>45316</v>
      </c>
      <c r="K160" s="5">
        <v>45399</v>
      </c>
      <c r="L160" t="s">
        <v>69</v>
      </c>
      <c r="M160" t="s">
        <v>910</v>
      </c>
      <c r="N160" t="s">
        <v>950</v>
      </c>
      <c r="O160">
        <v>0</v>
      </c>
      <c r="P160" t="s">
        <v>920</v>
      </c>
    </row>
    <row r="161" spans="1:16" x14ac:dyDescent="0.3">
      <c r="A161">
        <v>1174</v>
      </c>
      <c r="B161" t="s">
        <v>22</v>
      </c>
      <c r="C161">
        <f t="shared" si="4"/>
        <v>0</v>
      </c>
      <c r="D161">
        <v>0</v>
      </c>
      <c r="E161" t="s">
        <v>55</v>
      </c>
      <c r="F161" t="s">
        <v>25</v>
      </c>
      <c r="G161" t="s">
        <v>901</v>
      </c>
      <c r="H161">
        <v>0</v>
      </c>
      <c r="I161" t="s">
        <v>17</v>
      </c>
      <c r="J161" s="5">
        <v>45390</v>
      </c>
      <c r="K161" s="5">
        <v>45400</v>
      </c>
      <c r="L161" t="s">
        <v>914</v>
      </c>
      <c r="M161" t="s">
        <v>909</v>
      </c>
      <c r="N161" t="s">
        <v>1020</v>
      </c>
      <c r="O161">
        <v>0</v>
      </c>
      <c r="P161" t="s">
        <v>920</v>
      </c>
    </row>
    <row r="162" spans="1:16" x14ac:dyDescent="0.3">
      <c r="A162">
        <v>1438</v>
      </c>
      <c r="B162" t="s">
        <v>12</v>
      </c>
      <c r="C162" t="b">
        <f t="shared" ref="C162:C174" si="5">IF(OR(D162=0, D162&lt;0, D162&gt;80, ISBLANK(D162)), D162)</f>
        <v>0</v>
      </c>
      <c r="D162">
        <v>19</v>
      </c>
      <c r="E162" t="s">
        <v>659</v>
      </c>
      <c r="F162" t="s">
        <v>84</v>
      </c>
      <c r="G162" t="s">
        <v>902</v>
      </c>
      <c r="H162">
        <v>3</v>
      </c>
      <c r="I162" t="s">
        <v>17</v>
      </c>
      <c r="J162" s="5">
        <v>45465</v>
      </c>
      <c r="K162" s="5">
        <v>45509</v>
      </c>
      <c r="L162" t="s">
        <v>40</v>
      </c>
      <c r="M162" t="s">
        <v>910</v>
      </c>
      <c r="N162" t="s">
        <v>969</v>
      </c>
      <c r="O162">
        <v>1</v>
      </c>
      <c r="P162" t="s">
        <v>920</v>
      </c>
    </row>
    <row r="163" spans="1:16" x14ac:dyDescent="0.3">
      <c r="A163">
        <v>1073</v>
      </c>
      <c r="B163" t="s">
        <v>107</v>
      </c>
      <c r="C163" t="b">
        <f t="shared" si="5"/>
        <v>0</v>
      </c>
      <c r="D163">
        <v>22</v>
      </c>
      <c r="E163" t="s">
        <v>24</v>
      </c>
      <c r="F163" t="s">
        <v>156</v>
      </c>
      <c r="G163" t="s">
        <v>903</v>
      </c>
      <c r="H163">
        <v>2</v>
      </c>
      <c r="I163" t="s">
        <v>17</v>
      </c>
      <c r="J163" s="5">
        <v>45358</v>
      </c>
      <c r="K163" s="5">
        <v>45293</v>
      </c>
      <c r="L163" t="s">
        <v>69</v>
      </c>
      <c r="M163" t="s">
        <v>909</v>
      </c>
      <c r="N163" t="s">
        <v>958</v>
      </c>
      <c r="O163">
        <v>0</v>
      </c>
      <c r="P163" t="s">
        <v>920</v>
      </c>
    </row>
    <row r="164" spans="1:16" x14ac:dyDescent="0.3">
      <c r="A164">
        <v>1465</v>
      </c>
      <c r="B164" t="s">
        <v>47</v>
      </c>
      <c r="C164" t="b">
        <f t="shared" si="5"/>
        <v>0</v>
      </c>
      <c r="D164">
        <v>25</v>
      </c>
      <c r="E164" t="s">
        <v>659</v>
      </c>
      <c r="F164" t="s">
        <v>167</v>
      </c>
      <c r="G164" t="s">
        <v>904</v>
      </c>
      <c r="H164">
        <v>5</v>
      </c>
      <c r="I164" t="s">
        <v>908</v>
      </c>
      <c r="J164" s="5">
        <v>45343</v>
      </c>
      <c r="K164" s="5">
        <v>45364</v>
      </c>
      <c r="L164" t="s">
        <v>69</v>
      </c>
      <c r="M164" t="s">
        <v>912</v>
      </c>
      <c r="N164" t="s">
        <v>967</v>
      </c>
      <c r="O164">
        <v>0</v>
      </c>
      <c r="P164" t="s">
        <v>920</v>
      </c>
    </row>
    <row r="165" spans="1:16" x14ac:dyDescent="0.3">
      <c r="A165">
        <v>1195</v>
      </c>
      <c r="B165" t="s">
        <v>107</v>
      </c>
      <c r="C165" t="b">
        <f t="shared" si="5"/>
        <v>0</v>
      </c>
      <c r="D165">
        <v>25</v>
      </c>
      <c r="E165" t="s">
        <v>24</v>
      </c>
      <c r="F165" t="s">
        <v>84</v>
      </c>
      <c r="G165" t="s">
        <v>906</v>
      </c>
      <c r="H165">
        <v>3</v>
      </c>
      <c r="I165" t="s">
        <v>908</v>
      </c>
      <c r="J165" s="5">
        <v>45348</v>
      </c>
      <c r="K165" s="5">
        <v>45345</v>
      </c>
      <c r="L165" t="s">
        <v>40</v>
      </c>
      <c r="M165" t="s">
        <v>911</v>
      </c>
      <c r="N165" t="s">
        <v>71</v>
      </c>
      <c r="O165">
        <v>1</v>
      </c>
      <c r="P165" t="s">
        <v>920</v>
      </c>
    </row>
    <row r="166" spans="1:16" x14ac:dyDescent="0.3">
      <c r="A166">
        <v>1139</v>
      </c>
      <c r="B166" t="s">
        <v>155</v>
      </c>
      <c r="C166" t="b">
        <f t="shared" si="5"/>
        <v>0</v>
      </c>
      <c r="D166">
        <v>22</v>
      </c>
      <c r="E166" t="s">
        <v>55</v>
      </c>
      <c r="F166" t="s">
        <v>167</v>
      </c>
      <c r="G166" t="s">
        <v>907</v>
      </c>
      <c r="H166">
        <v>5</v>
      </c>
      <c r="I166" t="s">
        <v>908</v>
      </c>
      <c r="J166" s="5">
        <v>45314</v>
      </c>
      <c r="K166" s="5">
        <v>45309</v>
      </c>
      <c r="L166" t="s">
        <v>20</v>
      </c>
      <c r="M166" t="s">
        <v>910</v>
      </c>
      <c r="N166" t="s">
        <v>66</v>
      </c>
      <c r="O166">
        <v>0</v>
      </c>
      <c r="P166" t="s">
        <v>920</v>
      </c>
    </row>
    <row r="167" spans="1:16" x14ac:dyDescent="0.3">
      <c r="A167">
        <v>1322</v>
      </c>
      <c r="B167" t="s">
        <v>32</v>
      </c>
      <c r="C167" t="b">
        <f t="shared" si="5"/>
        <v>0</v>
      </c>
      <c r="D167">
        <v>25</v>
      </c>
      <c r="E167" t="s">
        <v>659</v>
      </c>
      <c r="F167" t="s">
        <v>156</v>
      </c>
      <c r="G167" t="s">
        <v>660</v>
      </c>
      <c r="H167">
        <v>2</v>
      </c>
      <c r="I167" t="s">
        <v>28</v>
      </c>
      <c r="J167" s="5">
        <v>45354</v>
      </c>
      <c r="K167" s="5">
        <v>45334</v>
      </c>
      <c r="L167" t="s">
        <v>40</v>
      </c>
      <c r="M167" t="s">
        <v>909</v>
      </c>
      <c r="N167" t="s">
        <v>919</v>
      </c>
      <c r="O167">
        <v>1</v>
      </c>
      <c r="P167" t="s">
        <v>920</v>
      </c>
    </row>
    <row r="168" spans="1:16" x14ac:dyDescent="0.3">
      <c r="A168">
        <v>1476</v>
      </c>
      <c r="B168" t="s">
        <v>12</v>
      </c>
      <c r="C168" t="b">
        <f t="shared" si="5"/>
        <v>0</v>
      </c>
      <c r="D168">
        <v>21</v>
      </c>
      <c r="E168" t="s">
        <v>55</v>
      </c>
      <c r="F168" t="s">
        <v>25</v>
      </c>
      <c r="G168" t="s">
        <v>661</v>
      </c>
      <c r="H168">
        <v>0</v>
      </c>
      <c r="I168" t="s">
        <v>17</v>
      </c>
      <c r="J168" s="5">
        <v>45426</v>
      </c>
      <c r="K168" s="5">
        <v>45508</v>
      </c>
      <c r="L168" t="s">
        <v>69</v>
      </c>
      <c r="M168" t="s">
        <v>909</v>
      </c>
      <c r="N168" t="s">
        <v>921</v>
      </c>
      <c r="O168">
        <v>0</v>
      </c>
      <c r="P168" t="s">
        <v>920</v>
      </c>
    </row>
    <row r="169" spans="1:16" x14ac:dyDescent="0.3">
      <c r="A169">
        <v>1098</v>
      </c>
      <c r="B169" t="s">
        <v>47</v>
      </c>
      <c r="C169" t="b">
        <f t="shared" si="5"/>
        <v>0</v>
      </c>
      <c r="D169">
        <v>19</v>
      </c>
      <c r="E169" t="s">
        <v>659</v>
      </c>
      <c r="F169" t="s">
        <v>25</v>
      </c>
      <c r="G169" t="s">
        <v>662</v>
      </c>
      <c r="H169">
        <v>1</v>
      </c>
      <c r="I169" t="s">
        <v>17</v>
      </c>
      <c r="J169" s="5">
        <v>45300</v>
      </c>
      <c r="K169" s="5">
        <v>45319</v>
      </c>
      <c r="L169" t="s">
        <v>40</v>
      </c>
      <c r="M169" t="s">
        <v>910</v>
      </c>
      <c r="N169" t="s">
        <v>922</v>
      </c>
      <c r="O169">
        <v>1</v>
      </c>
      <c r="P169" t="s">
        <v>920</v>
      </c>
    </row>
    <row r="170" spans="1:16" x14ac:dyDescent="0.3">
      <c r="A170">
        <v>1230</v>
      </c>
      <c r="B170" t="s">
        <v>12</v>
      </c>
      <c r="C170" t="b">
        <f t="shared" si="5"/>
        <v>0</v>
      </c>
      <c r="D170">
        <v>21</v>
      </c>
      <c r="E170" t="s">
        <v>55</v>
      </c>
      <c r="F170" t="s">
        <v>25</v>
      </c>
      <c r="G170" t="s">
        <v>663</v>
      </c>
      <c r="H170">
        <v>5</v>
      </c>
      <c r="I170" t="s">
        <v>17</v>
      </c>
      <c r="J170" s="5">
        <v>45370</v>
      </c>
      <c r="K170" s="5">
        <v>45399</v>
      </c>
      <c r="L170" t="s">
        <v>40</v>
      </c>
      <c r="M170" t="s">
        <v>911</v>
      </c>
      <c r="N170" t="s">
        <v>923</v>
      </c>
      <c r="O170">
        <v>1</v>
      </c>
      <c r="P170" t="s">
        <v>920</v>
      </c>
    </row>
    <row r="171" spans="1:16" x14ac:dyDescent="0.3">
      <c r="A171">
        <v>1106</v>
      </c>
      <c r="B171" t="s">
        <v>74</v>
      </c>
      <c r="C171" t="b">
        <f t="shared" si="5"/>
        <v>0</v>
      </c>
      <c r="D171">
        <v>24</v>
      </c>
      <c r="E171" t="s">
        <v>24</v>
      </c>
      <c r="F171" t="s">
        <v>156</v>
      </c>
      <c r="G171" t="s">
        <v>666</v>
      </c>
      <c r="H171">
        <v>3</v>
      </c>
      <c r="I171" t="s">
        <v>76</v>
      </c>
      <c r="J171" s="5">
        <v>45316</v>
      </c>
      <c r="K171" s="5">
        <v>45317</v>
      </c>
      <c r="L171" t="s">
        <v>40</v>
      </c>
      <c r="M171" t="s">
        <v>912</v>
      </c>
      <c r="N171" t="s">
        <v>50</v>
      </c>
      <c r="O171">
        <v>1</v>
      </c>
      <c r="P171" t="s">
        <v>920</v>
      </c>
    </row>
    <row r="172" spans="1:16" x14ac:dyDescent="0.3">
      <c r="A172">
        <v>1123</v>
      </c>
      <c r="B172" t="s">
        <v>22</v>
      </c>
      <c r="C172" t="b">
        <f t="shared" si="5"/>
        <v>0</v>
      </c>
      <c r="D172">
        <v>20</v>
      </c>
      <c r="E172" t="s">
        <v>55</v>
      </c>
      <c r="F172" t="s">
        <v>84</v>
      </c>
      <c r="G172" t="s">
        <v>667</v>
      </c>
      <c r="H172">
        <v>3</v>
      </c>
      <c r="I172" t="s">
        <v>17</v>
      </c>
      <c r="J172" s="5">
        <v>45444</v>
      </c>
      <c r="K172" s="5">
        <v>45365</v>
      </c>
      <c r="L172" t="s">
        <v>40</v>
      </c>
      <c r="M172" t="s">
        <v>909</v>
      </c>
      <c r="N172" t="s">
        <v>924</v>
      </c>
      <c r="O172">
        <v>1</v>
      </c>
      <c r="P172" t="s">
        <v>920</v>
      </c>
    </row>
    <row r="173" spans="1:16" x14ac:dyDescent="0.3">
      <c r="A173">
        <v>1214</v>
      </c>
      <c r="B173" t="s">
        <v>22</v>
      </c>
      <c r="C173" t="b">
        <f t="shared" si="5"/>
        <v>0</v>
      </c>
      <c r="D173">
        <v>19</v>
      </c>
      <c r="E173" t="s">
        <v>55</v>
      </c>
      <c r="F173" t="s">
        <v>84</v>
      </c>
      <c r="G173" t="s">
        <v>669</v>
      </c>
      <c r="H173">
        <v>0</v>
      </c>
      <c r="I173" t="s">
        <v>908</v>
      </c>
      <c r="J173" s="5">
        <v>45310</v>
      </c>
      <c r="K173" s="5">
        <v>45439</v>
      </c>
      <c r="L173" t="s">
        <v>40</v>
      </c>
      <c r="M173" t="s">
        <v>910</v>
      </c>
      <c r="N173" t="s">
        <v>925</v>
      </c>
      <c r="O173">
        <v>1</v>
      </c>
      <c r="P173" t="s">
        <v>920</v>
      </c>
    </row>
    <row r="174" spans="1:16" x14ac:dyDescent="0.3">
      <c r="A174">
        <v>1113</v>
      </c>
      <c r="B174" t="s">
        <v>47</v>
      </c>
      <c r="C174" t="b">
        <f t="shared" si="5"/>
        <v>0</v>
      </c>
      <c r="D174">
        <v>18</v>
      </c>
      <c r="E174" t="s">
        <v>24</v>
      </c>
      <c r="F174" t="s">
        <v>25</v>
      </c>
      <c r="G174" t="s">
        <v>672</v>
      </c>
      <c r="H174">
        <v>1</v>
      </c>
      <c r="I174" t="s">
        <v>908</v>
      </c>
      <c r="J174" s="5">
        <v>45344</v>
      </c>
      <c r="K174" s="5">
        <v>45309</v>
      </c>
      <c r="L174" t="s">
        <v>69</v>
      </c>
      <c r="M174" t="s">
        <v>911</v>
      </c>
      <c r="N174" t="s">
        <v>926</v>
      </c>
      <c r="O174">
        <v>0</v>
      </c>
      <c r="P174" t="s">
        <v>920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77B0D-F2DA-41FC-BD6B-7165E768E9B1}">
  <dimension ref="A1:O174"/>
  <sheetViews>
    <sheetView topLeftCell="G1" workbookViewId="0">
      <selection activeCell="H2" sqref="H2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1.44140625" style="4" bestFit="1" customWidth="1"/>
    <col min="10" max="10" width="20.33203125" style="4" bestFit="1" customWidth="1"/>
    <col min="11" max="11" width="16.5546875" bestFit="1" customWidth="1"/>
    <col min="12" max="12" width="10.44140625" bestFit="1" customWidth="1"/>
    <col min="13" max="13" width="26" bestFit="1" customWidth="1"/>
    <col min="14" max="14" width="10.77734375" bestFit="1" customWidth="1"/>
    <col min="15" max="15" width="12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  <c r="L1" t="s">
        <v>11</v>
      </c>
      <c r="M1" t="s">
        <v>916</v>
      </c>
      <c r="N1" t="s">
        <v>917</v>
      </c>
      <c r="O1" t="s">
        <v>918</v>
      </c>
    </row>
    <row r="2" spans="1:15" x14ac:dyDescent="0.3">
      <c r="A2">
        <v>1322</v>
      </c>
      <c r="B2" t="s">
        <v>32</v>
      </c>
      <c r="C2">
        <v>25</v>
      </c>
      <c r="D2" t="s">
        <v>659</v>
      </c>
      <c r="E2" t="s">
        <v>156</v>
      </c>
      <c r="F2" t="s">
        <v>660</v>
      </c>
      <c r="G2">
        <v>2</v>
      </c>
      <c r="H2" t="s">
        <v>28</v>
      </c>
      <c r="I2" s="4">
        <v>45354</v>
      </c>
      <c r="J2" s="4">
        <v>45334</v>
      </c>
      <c r="K2" t="s">
        <v>40</v>
      </c>
      <c r="L2" t="s">
        <v>909</v>
      </c>
      <c r="M2">
        <f>Table1_4[[#This Row],[Last_Purchase_Date]]-Table1_4[[#This Row],[Join_Date]]</f>
        <v>-20</v>
      </c>
      <c r="N2">
        <f t="shared" ref="N2:N33" si="0">IF(K2="Active",1,0)</f>
        <v>1</v>
      </c>
      <c r="O2" t="str" cm="1">
        <f t="array" ref="O2">_xlfn.IFS(C2&gt;50, "51+", C2&gt;35, "36–50", C2&gt;25, "26–35", TRUE, "18–25")</f>
        <v>18–25</v>
      </c>
    </row>
    <row r="3" spans="1:15" x14ac:dyDescent="0.3">
      <c r="A3">
        <v>1476</v>
      </c>
      <c r="B3" t="s">
        <v>12</v>
      </c>
      <c r="C3">
        <v>21</v>
      </c>
      <c r="D3" t="s">
        <v>55</v>
      </c>
      <c r="E3" t="s">
        <v>25</v>
      </c>
      <c r="F3" t="s">
        <v>661</v>
      </c>
      <c r="G3">
        <v>0</v>
      </c>
      <c r="H3" t="s">
        <v>17</v>
      </c>
      <c r="I3" s="4">
        <v>45426</v>
      </c>
      <c r="J3" s="4">
        <v>45508</v>
      </c>
      <c r="K3" t="s">
        <v>69</v>
      </c>
      <c r="L3" t="s">
        <v>909</v>
      </c>
      <c r="M3">
        <f>Table1_4[[#This Row],[Last_Purchase_Date]]-Table1_4[[#This Row],[Join_Date]]</f>
        <v>82</v>
      </c>
      <c r="N3">
        <f t="shared" si="0"/>
        <v>0</v>
      </c>
      <c r="O3" t="str" cm="1">
        <f t="array" ref="O3">_xlfn.IFS(C3&gt;50, "51+", C3&gt;35, "36–50", C3&gt;25, "26–35", TRUE, "18–25")</f>
        <v>18–25</v>
      </c>
    </row>
    <row r="4" spans="1:15" x14ac:dyDescent="0.3">
      <c r="A4">
        <v>1098</v>
      </c>
      <c r="B4" t="s">
        <v>47</v>
      </c>
      <c r="C4">
        <v>19</v>
      </c>
      <c r="D4" t="s">
        <v>659</v>
      </c>
      <c r="E4" t="s">
        <v>25</v>
      </c>
      <c r="F4" t="s">
        <v>662</v>
      </c>
      <c r="G4">
        <v>1</v>
      </c>
      <c r="H4" t="s">
        <v>17</v>
      </c>
      <c r="I4" s="4">
        <v>45300</v>
      </c>
      <c r="J4" s="4">
        <v>45319</v>
      </c>
      <c r="K4" t="s">
        <v>40</v>
      </c>
      <c r="L4" t="s">
        <v>910</v>
      </c>
      <c r="M4">
        <f>Table1_4[[#This Row],[Last_Purchase_Date]]-Table1_4[[#This Row],[Join_Date]]</f>
        <v>19</v>
      </c>
      <c r="N4">
        <f t="shared" si="0"/>
        <v>1</v>
      </c>
      <c r="O4" t="str" cm="1">
        <f t="array" ref="O4">_xlfn.IFS(C4&gt;50, "51+", C4&gt;35, "36–50", C4&gt;25, "26–35", TRUE, "18–25")</f>
        <v>18–25</v>
      </c>
    </row>
    <row r="5" spans="1:15" x14ac:dyDescent="0.3">
      <c r="A5">
        <v>1230</v>
      </c>
      <c r="B5" t="s">
        <v>12</v>
      </c>
      <c r="C5">
        <v>21</v>
      </c>
      <c r="D5" t="s">
        <v>55</v>
      </c>
      <c r="E5" t="s">
        <v>25</v>
      </c>
      <c r="F5" t="s">
        <v>663</v>
      </c>
      <c r="G5">
        <v>5</v>
      </c>
      <c r="H5" t="s">
        <v>17</v>
      </c>
      <c r="I5" s="4">
        <v>45370</v>
      </c>
      <c r="J5" s="4">
        <v>45399</v>
      </c>
      <c r="K5" t="s">
        <v>40</v>
      </c>
      <c r="L5" t="s">
        <v>911</v>
      </c>
      <c r="M5">
        <f>Table1_4[[#This Row],[Last_Purchase_Date]]-Table1_4[[#This Row],[Join_Date]]</f>
        <v>29</v>
      </c>
      <c r="N5">
        <f t="shared" si="0"/>
        <v>1</v>
      </c>
      <c r="O5" t="str" cm="1">
        <f t="array" ref="O5">_xlfn.IFS(C5&gt;50, "51+", C5&gt;35, "36–50", C5&gt;25, "26–35", TRUE, "18–25")</f>
        <v>18–25</v>
      </c>
    </row>
    <row r="6" spans="1:15" x14ac:dyDescent="0.3">
      <c r="A6">
        <v>1106</v>
      </c>
      <c r="B6" t="s">
        <v>74</v>
      </c>
      <c r="C6">
        <v>24</v>
      </c>
      <c r="D6" t="s">
        <v>24</v>
      </c>
      <c r="E6" t="s">
        <v>156</v>
      </c>
      <c r="F6" t="s">
        <v>666</v>
      </c>
      <c r="G6">
        <v>3</v>
      </c>
      <c r="H6" t="s">
        <v>76</v>
      </c>
      <c r="I6" s="4">
        <v>45316</v>
      </c>
      <c r="J6" s="4">
        <v>45317</v>
      </c>
      <c r="K6" t="s">
        <v>40</v>
      </c>
      <c r="L6" t="s">
        <v>912</v>
      </c>
      <c r="M6">
        <f>Table1_4[[#This Row],[Last_Purchase_Date]]-Table1_4[[#This Row],[Join_Date]]</f>
        <v>1</v>
      </c>
      <c r="N6">
        <f t="shared" si="0"/>
        <v>1</v>
      </c>
      <c r="O6" t="str" cm="1">
        <f t="array" ref="O6">_xlfn.IFS(C6&gt;50, "51+", C6&gt;35, "36–50", C6&gt;25, "26–35", TRUE, "18–25")</f>
        <v>18–25</v>
      </c>
    </row>
    <row r="7" spans="1:15" x14ac:dyDescent="0.3">
      <c r="A7">
        <v>1123</v>
      </c>
      <c r="B7" t="s">
        <v>22</v>
      </c>
      <c r="C7">
        <v>20</v>
      </c>
      <c r="D7" t="s">
        <v>55</v>
      </c>
      <c r="E7" t="s">
        <v>84</v>
      </c>
      <c r="F7" t="s">
        <v>667</v>
      </c>
      <c r="G7">
        <v>3</v>
      </c>
      <c r="H7" t="s">
        <v>17</v>
      </c>
      <c r="I7" s="4">
        <v>45444</v>
      </c>
      <c r="J7" s="4">
        <v>45365</v>
      </c>
      <c r="K7" t="s">
        <v>40</v>
      </c>
      <c r="L7" t="s">
        <v>909</v>
      </c>
      <c r="M7">
        <f>Table1_4[[#This Row],[Last_Purchase_Date]]-Table1_4[[#This Row],[Join_Date]]</f>
        <v>-79</v>
      </c>
      <c r="N7">
        <f t="shared" si="0"/>
        <v>1</v>
      </c>
      <c r="O7" t="str" cm="1">
        <f t="array" ref="O7">_xlfn.IFS(C7&gt;50, "51+", C7&gt;35, "36–50", C7&gt;25, "26–35", TRUE, "18–25")</f>
        <v>18–25</v>
      </c>
    </row>
    <row r="8" spans="1:15" x14ac:dyDescent="0.3">
      <c r="A8">
        <v>1214</v>
      </c>
      <c r="B8" t="s">
        <v>22</v>
      </c>
      <c r="C8">
        <v>19</v>
      </c>
      <c r="D8" t="s">
        <v>55</v>
      </c>
      <c r="E8" t="s">
        <v>84</v>
      </c>
      <c r="F8" t="s">
        <v>669</v>
      </c>
      <c r="G8">
        <v>0</v>
      </c>
      <c r="H8" t="s">
        <v>908</v>
      </c>
      <c r="I8" s="4">
        <v>45310</v>
      </c>
      <c r="J8" s="4">
        <v>45439</v>
      </c>
      <c r="K8" t="s">
        <v>40</v>
      </c>
      <c r="L8" t="s">
        <v>910</v>
      </c>
      <c r="M8">
        <f>Table1_4[[#This Row],[Last_Purchase_Date]]-Table1_4[[#This Row],[Join_Date]]</f>
        <v>129</v>
      </c>
      <c r="N8">
        <f t="shared" si="0"/>
        <v>1</v>
      </c>
      <c r="O8" t="str" cm="1">
        <f t="array" ref="O8">_xlfn.IFS(C8&gt;50, "51+", C8&gt;35, "36–50", C8&gt;25, "26–35", TRUE, "18–25")</f>
        <v>18–25</v>
      </c>
    </row>
    <row r="9" spans="1:15" x14ac:dyDescent="0.3">
      <c r="A9">
        <v>1113</v>
      </c>
      <c r="B9" t="s">
        <v>47</v>
      </c>
      <c r="C9">
        <v>18</v>
      </c>
      <c r="D9" t="s">
        <v>24</v>
      </c>
      <c r="E9" t="s">
        <v>25</v>
      </c>
      <c r="F9" t="s">
        <v>672</v>
      </c>
      <c r="G9">
        <v>1</v>
      </c>
      <c r="H9" t="s">
        <v>908</v>
      </c>
      <c r="I9" s="4">
        <v>45344</v>
      </c>
      <c r="J9" s="4">
        <v>45309</v>
      </c>
      <c r="K9" t="s">
        <v>69</v>
      </c>
      <c r="L9" t="s">
        <v>911</v>
      </c>
      <c r="M9">
        <f>Table1_4[[#This Row],[Last_Purchase_Date]]-Table1_4[[#This Row],[Join_Date]]</f>
        <v>-35</v>
      </c>
      <c r="N9">
        <f t="shared" si="0"/>
        <v>0</v>
      </c>
      <c r="O9" t="str" cm="1">
        <f t="array" ref="O9">_xlfn.IFS(C9&gt;50, "51+", C9&gt;35, "36–50", C9&gt;25, "26–35", TRUE, "18–25")</f>
        <v>18–25</v>
      </c>
    </row>
    <row r="10" spans="1:15" x14ac:dyDescent="0.3">
      <c r="A10">
        <v>1126</v>
      </c>
      <c r="B10" t="s">
        <v>107</v>
      </c>
      <c r="C10">
        <v>20</v>
      </c>
      <c r="D10" t="s">
        <v>55</v>
      </c>
      <c r="E10" t="s">
        <v>156</v>
      </c>
      <c r="F10" t="s">
        <v>673</v>
      </c>
      <c r="G10">
        <v>5</v>
      </c>
      <c r="H10" t="s">
        <v>28</v>
      </c>
      <c r="I10" s="4">
        <v>45305</v>
      </c>
      <c r="J10" s="4">
        <v>45392</v>
      </c>
      <c r="K10" t="s">
        <v>69</v>
      </c>
      <c r="L10" t="s">
        <v>910</v>
      </c>
      <c r="M10">
        <f>Table1_4[[#This Row],[Last_Purchase_Date]]-Table1_4[[#This Row],[Join_Date]]</f>
        <v>87</v>
      </c>
      <c r="N10">
        <f t="shared" si="0"/>
        <v>0</v>
      </c>
      <c r="O10" t="str" cm="1">
        <f t="array" ref="O10">_xlfn.IFS(C10&gt;50, "51+", C10&gt;35, "36–50", C10&gt;25, "26–35", TRUE, "18–25")</f>
        <v>18–25</v>
      </c>
    </row>
    <row r="11" spans="1:15" x14ac:dyDescent="0.3">
      <c r="A11">
        <v>1047</v>
      </c>
      <c r="B11" t="s">
        <v>32</v>
      </c>
      <c r="C11">
        <v>21</v>
      </c>
      <c r="D11" t="s">
        <v>24</v>
      </c>
      <c r="E11" t="s">
        <v>84</v>
      </c>
      <c r="F11" t="s">
        <v>674</v>
      </c>
      <c r="G11">
        <v>5</v>
      </c>
      <c r="H11" t="s">
        <v>17</v>
      </c>
      <c r="I11" s="4">
        <v>45451</v>
      </c>
      <c r="J11" s="4">
        <v>45539</v>
      </c>
      <c r="K11" t="s">
        <v>40</v>
      </c>
      <c r="L11" t="s">
        <v>913</v>
      </c>
      <c r="M11">
        <f>Table1_4[[#This Row],[Last_Purchase_Date]]-Table1_4[[#This Row],[Join_Date]]</f>
        <v>88</v>
      </c>
      <c r="N11">
        <f t="shared" si="0"/>
        <v>1</v>
      </c>
      <c r="O11" t="str" cm="1">
        <f t="array" ref="O11">_xlfn.IFS(C11&gt;50, "51+", C11&gt;35, "36–50", C11&gt;25, "26–35", TRUE, "18–25")</f>
        <v>18–25</v>
      </c>
    </row>
    <row r="12" spans="1:15" x14ac:dyDescent="0.3">
      <c r="A12">
        <v>1430</v>
      </c>
      <c r="B12" t="s">
        <v>22</v>
      </c>
      <c r="C12">
        <v>22</v>
      </c>
      <c r="D12" t="s">
        <v>55</v>
      </c>
      <c r="E12" t="s">
        <v>84</v>
      </c>
      <c r="F12" t="s">
        <v>677</v>
      </c>
      <c r="G12">
        <v>5</v>
      </c>
      <c r="H12" t="s">
        <v>76</v>
      </c>
      <c r="I12" s="4">
        <v>45538</v>
      </c>
      <c r="J12" s="4">
        <v>45429</v>
      </c>
      <c r="K12" t="s">
        <v>40</v>
      </c>
      <c r="L12" t="s">
        <v>913</v>
      </c>
      <c r="M12">
        <f>Table1_4[[#This Row],[Last_Purchase_Date]]-Table1_4[[#This Row],[Join_Date]]</f>
        <v>-109</v>
      </c>
      <c r="N12">
        <f t="shared" si="0"/>
        <v>1</v>
      </c>
      <c r="O12" t="str" cm="1">
        <f t="array" ref="O12">_xlfn.IFS(C12&gt;50, "51+", C12&gt;35, "36–50", C12&gt;25, "26–35", TRUE, "18–25")</f>
        <v>18–25</v>
      </c>
    </row>
    <row r="13" spans="1:15" x14ac:dyDescent="0.3">
      <c r="A13">
        <v>1224</v>
      </c>
      <c r="B13" t="s">
        <v>74</v>
      </c>
      <c r="C13">
        <v>0</v>
      </c>
      <c r="D13" t="s">
        <v>55</v>
      </c>
      <c r="E13" t="s">
        <v>25</v>
      </c>
      <c r="F13" t="s">
        <v>678</v>
      </c>
      <c r="G13">
        <v>1</v>
      </c>
      <c r="H13" t="s">
        <v>908</v>
      </c>
      <c r="I13" s="4">
        <v>45406</v>
      </c>
      <c r="J13" s="4">
        <v>45447</v>
      </c>
      <c r="K13" t="s">
        <v>914</v>
      </c>
      <c r="L13" t="s">
        <v>910</v>
      </c>
      <c r="M13">
        <f>Table1_4[[#This Row],[Last_Purchase_Date]]-Table1_4[[#This Row],[Join_Date]]</f>
        <v>41</v>
      </c>
      <c r="N13">
        <f t="shared" si="0"/>
        <v>0</v>
      </c>
      <c r="O13" t="str" cm="1">
        <f t="array" ref="O13">_xlfn.IFS(C13&gt;50, "51+", C13&gt;35, "36–50", C13&gt;25, "26–35", TRUE, "18–25")</f>
        <v>18–25</v>
      </c>
    </row>
    <row r="14" spans="1:15" x14ac:dyDescent="0.3">
      <c r="A14">
        <v>1111</v>
      </c>
      <c r="B14" t="s">
        <v>74</v>
      </c>
      <c r="C14">
        <v>0</v>
      </c>
      <c r="D14" t="s">
        <v>24</v>
      </c>
      <c r="E14" t="s">
        <v>25</v>
      </c>
      <c r="F14" t="s">
        <v>679</v>
      </c>
      <c r="G14">
        <v>2</v>
      </c>
      <c r="H14" t="s">
        <v>17</v>
      </c>
      <c r="I14" s="4">
        <v>45303</v>
      </c>
      <c r="J14" s="4">
        <v>45363</v>
      </c>
      <c r="K14" t="s">
        <v>20</v>
      </c>
      <c r="L14" t="s">
        <v>909</v>
      </c>
      <c r="M14">
        <f>Table1_4[[#This Row],[Last_Purchase_Date]]-Table1_4[[#This Row],[Join_Date]]</f>
        <v>60</v>
      </c>
      <c r="N14">
        <f t="shared" si="0"/>
        <v>0</v>
      </c>
      <c r="O14" t="str" cm="1">
        <f t="array" ref="O14">_xlfn.IFS(C14&gt;50, "51+", C14&gt;35, "36–50", C14&gt;25, "26–35", TRUE, "18–25")</f>
        <v>18–25</v>
      </c>
    </row>
    <row r="15" spans="1:15" x14ac:dyDescent="0.3">
      <c r="A15">
        <v>1409</v>
      </c>
      <c r="B15" t="s">
        <v>136</v>
      </c>
      <c r="C15">
        <v>20</v>
      </c>
      <c r="D15" t="s">
        <v>24</v>
      </c>
      <c r="E15" t="s">
        <v>84</v>
      </c>
      <c r="F15" t="s">
        <v>680</v>
      </c>
      <c r="G15">
        <v>3</v>
      </c>
      <c r="H15" t="s">
        <v>908</v>
      </c>
      <c r="I15" s="4">
        <v>45506</v>
      </c>
      <c r="J15" s="4">
        <v>45328</v>
      </c>
      <c r="K15" t="s">
        <v>20</v>
      </c>
      <c r="L15" t="s">
        <v>911</v>
      </c>
      <c r="M15">
        <f>Table1_4[[#This Row],[Last_Purchase_Date]]-Table1_4[[#This Row],[Join_Date]]</f>
        <v>-178</v>
      </c>
      <c r="N15">
        <f t="shared" si="0"/>
        <v>0</v>
      </c>
      <c r="O15" t="str" cm="1">
        <f t="array" ref="O15">_xlfn.IFS(C15&gt;50, "51+", C15&gt;35, "36–50", C15&gt;25, "26–35", TRUE, "18–25")</f>
        <v>18–25</v>
      </c>
    </row>
    <row r="16" spans="1:15" x14ac:dyDescent="0.3">
      <c r="A16">
        <v>1334</v>
      </c>
      <c r="B16" t="s">
        <v>107</v>
      </c>
      <c r="C16">
        <v>22</v>
      </c>
      <c r="D16" t="s">
        <v>659</v>
      </c>
      <c r="E16" t="s">
        <v>167</v>
      </c>
      <c r="F16" t="s">
        <v>682</v>
      </c>
      <c r="G16">
        <v>4</v>
      </c>
      <c r="H16" t="s">
        <v>28</v>
      </c>
      <c r="I16" s="4">
        <v>45328</v>
      </c>
      <c r="J16" s="4">
        <v>45390</v>
      </c>
      <c r="K16" t="s">
        <v>914</v>
      </c>
      <c r="L16" t="s">
        <v>909</v>
      </c>
      <c r="M16">
        <f>Table1_4[[#This Row],[Last_Purchase_Date]]-Table1_4[[#This Row],[Join_Date]]</f>
        <v>62</v>
      </c>
      <c r="N16">
        <f t="shared" si="0"/>
        <v>0</v>
      </c>
      <c r="O16" t="str" cm="1">
        <f t="array" ref="O16">_xlfn.IFS(C16&gt;50, "51+", C16&gt;35, "36–50", C16&gt;25, "26–35", TRUE, "18–25")</f>
        <v>18–25</v>
      </c>
    </row>
    <row r="17" spans="1:15" x14ac:dyDescent="0.3">
      <c r="A17">
        <v>1420</v>
      </c>
      <c r="B17" t="s">
        <v>22</v>
      </c>
      <c r="C17">
        <v>19</v>
      </c>
      <c r="D17" t="s">
        <v>659</v>
      </c>
      <c r="E17" t="s">
        <v>25</v>
      </c>
      <c r="F17" t="s">
        <v>684</v>
      </c>
      <c r="G17">
        <v>3</v>
      </c>
      <c r="H17" t="s">
        <v>908</v>
      </c>
      <c r="I17" s="4">
        <v>45420</v>
      </c>
      <c r="J17" s="4">
        <v>45357</v>
      </c>
      <c r="K17" t="s">
        <v>69</v>
      </c>
      <c r="L17" t="s">
        <v>910</v>
      </c>
      <c r="M17">
        <f>Table1_4[[#This Row],[Last_Purchase_Date]]-Table1_4[[#This Row],[Join_Date]]</f>
        <v>-63</v>
      </c>
      <c r="N17">
        <f t="shared" si="0"/>
        <v>0</v>
      </c>
      <c r="O17" t="str" cm="1">
        <f t="array" ref="O17">_xlfn.IFS(C17&gt;50, "51+", C17&gt;35, "36–50", C17&gt;25, "26–35", TRUE, "18–25")</f>
        <v>18–25</v>
      </c>
    </row>
    <row r="18" spans="1:15" x14ac:dyDescent="0.3">
      <c r="A18">
        <v>1096</v>
      </c>
      <c r="B18" t="s">
        <v>22</v>
      </c>
      <c r="C18">
        <v>0</v>
      </c>
      <c r="D18" t="s">
        <v>24</v>
      </c>
      <c r="E18" t="s">
        <v>25</v>
      </c>
      <c r="F18" t="s">
        <v>685</v>
      </c>
      <c r="G18">
        <v>5</v>
      </c>
      <c r="H18" t="s">
        <v>908</v>
      </c>
      <c r="I18" s="4">
        <v>45345</v>
      </c>
      <c r="J18" s="4">
        <v>45456</v>
      </c>
      <c r="K18" t="s">
        <v>69</v>
      </c>
      <c r="L18" t="s">
        <v>910</v>
      </c>
      <c r="M18">
        <f>Table1_4[[#This Row],[Last_Purchase_Date]]-Table1_4[[#This Row],[Join_Date]]</f>
        <v>111</v>
      </c>
      <c r="N18">
        <f t="shared" si="0"/>
        <v>0</v>
      </c>
      <c r="O18" t="str" cm="1">
        <f t="array" ref="O18">_xlfn.IFS(C18&gt;50, "51+", C18&gt;35, "36–50", C18&gt;25, "26–35", TRUE, "18–25")</f>
        <v>18–25</v>
      </c>
    </row>
    <row r="19" spans="1:15" x14ac:dyDescent="0.3">
      <c r="A19">
        <v>1305</v>
      </c>
      <c r="B19" t="s">
        <v>163</v>
      </c>
      <c r="C19">
        <v>0</v>
      </c>
      <c r="D19" t="s">
        <v>24</v>
      </c>
      <c r="E19" t="s">
        <v>156</v>
      </c>
      <c r="F19" t="s">
        <v>688</v>
      </c>
      <c r="G19">
        <v>5</v>
      </c>
      <c r="H19" t="s">
        <v>17</v>
      </c>
      <c r="I19" s="4">
        <v>45312</v>
      </c>
      <c r="J19" s="4">
        <v>45403</v>
      </c>
      <c r="K19" t="s">
        <v>69</v>
      </c>
      <c r="L19" t="s">
        <v>912</v>
      </c>
      <c r="M19">
        <f>Table1_4[[#This Row],[Last_Purchase_Date]]-Table1_4[[#This Row],[Join_Date]]</f>
        <v>91</v>
      </c>
      <c r="N19">
        <f t="shared" si="0"/>
        <v>0</v>
      </c>
      <c r="O19" t="str" cm="1">
        <f t="array" ref="O19">_xlfn.IFS(C19&gt;50, "51+", C19&gt;35, "36–50", C19&gt;25, "26–35", TRUE, "18–25")</f>
        <v>18–25</v>
      </c>
    </row>
    <row r="20" spans="1:15" x14ac:dyDescent="0.3">
      <c r="A20">
        <v>1451</v>
      </c>
      <c r="B20" t="s">
        <v>22</v>
      </c>
      <c r="C20">
        <v>25</v>
      </c>
      <c r="D20" t="s">
        <v>659</v>
      </c>
      <c r="E20" t="s">
        <v>156</v>
      </c>
      <c r="F20" t="s">
        <v>690</v>
      </c>
      <c r="G20">
        <v>4</v>
      </c>
      <c r="H20" t="s">
        <v>28</v>
      </c>
      <c r="I20" s="4">
        <v>45427</v>
      </c>
      <c r="J20" s="4">
        <v>45401</v>
      </c>
      <c r="K20" t="s">
        <v>40</v>
      </c>
      <c r="L20" t="s">
        <v>912</v>
      </c>
      <c r="M20">
        <f>Table1_4[[#This Row],[Last_Purchase_Date]]-Table1_4[[#This Row],[Join_Date]]</f>
        <v>-26</v>
      </c>
      <c r="N20">
        <f t="shared" si="0"/>
        <v>1</v>
      </c>
      <c r="O20" t="str" cm="1">
        <f t="array" ref="O20">_xlfn.IFS(C20&gt;50, "51+", C20&gt;35, "36–50", C20&gt;25, "26–35", TRUE, "18–25")</f>
        <v>18–25</v>
      </c>
    </row>
    <row r="21" spans="1:15" x14ac:dyDescent="0.3">
      <c r="A21">
        <v>1002</v>
      </c>
      <c r="B21" t="s">
        <v>32</v>
      </c>
      <c r="C21">
        <v>22</v>
      </c>
      <c r="D21" t="s">
        <v>659</v>
      </c>
      <c r="E21" t="s">
        <v>25</v>
      </c>
      <c r="F21" t="s">
        <v>691</v>
      </c>
      <c r="G21">
        <v>4</v>
      </c>
      <c r="H21" t="s">
        <v>76</v>
      </c>
      <c r="I21" s="4">
        <v>45308</v>
      </c>
      <c r="J21" s="4">
        <v>45408</v>
      </c>
      <c r="K21" t="s">
        <v>69</v>
      </c>
      <c r="L21" t="s">
        <v>912</v>
      </c>
      <c r="M21">
        <f>Table1_4[[#This Row],[Last_Purchase_Date]]-Table1_4[[#This Row],[Join_Date]]</f>
        <v>100</v>
      </c>
      <c r="N21">
        <f t="shared" si="0"/>
        <v>0</v>
      </c>
      <c r="O21" t="str" cm="1">
        <f t="array" ref="O21">_xlfn.IFS(C21&gt;50, "51+", C21&gt;35, "36–50", C21&gt;25, "26–35", TRUE, "18–25")</f>
        <v>18–25</v>
      </c>
    </row>
    <row r="22" spans="1:15" x14ac:dyDescent="0.3">
      <c r="A22">
        <v>1340</v>
      </c>
      <c r="B22" t="s">
        <v>155</v>
      </c>
      <c r="C22">
        <v>25</v>
      </c>
      <c r="D22" t="s">
        <v>55</v>
      </c>
      <c r="E22" t="s">
        <v>167</v>
      </c>
      <c r="F22" t="s">
        <v>692</v>
      </c>
      <c r="G22">
        <v>1</v>
      </c>
      <c r="H22" t="s">
        <v>28</v>
      </c>
      <c r="I22" s="4">
        <v>45505</v>
      </c>
      <c r="J22" s="4">
        <v>45405</v>
      </c>
      <c r="K22" t="s">
        <v>40</v>
      </c>
      <c r="L22" t="s">
        <v>913</v>
      </c>
      <c r="M22">
        <f>Table1_4[[#This Row],[Last_Purchase_Date]]-Table1_4[[#This Row],[Join_Date]]</f>
        <v>-100</v>
      </c>
      <c r="N22">
        <f t="shared" si="0"/>
        <v>1</v>
      </c>
      <c r="O22" t="str" cm="1">
        <f t="array" ref="O22">_xlfn.IFS(C22&gt;50, "51+", C22&gt;35, "36–50", C22&gt;25, "26–35", TRUE, "18–25")</f>
        <v>18–25</v>
      </c>
    </row>
    <row r="23" spans="1:15" x14ac:dyDescent="0.3">
      <c r="A23">
        <v>1039</v>
      </c>
      <c r="B23" t="s">
        <v>12</v>
      </c>
      <c r="C23">
        <v>19</v>
      </c>
      <c r="D23" t="s">
        <v>659</v>
      </c>
      <c r="E23" t="s">
        <v>25</v>
      </c>
      <c r="F23" t="s">
        <v>693</v>
      </c>
      <c r="G23">
        <v>4</v>
      </c>
      <c r="H23" t="s">
        <v>908</v>
      </c>
      <c r="I23" s="4">
        <v>45440</v>
      </c>
      <c r="J23" s="4">
        <v>45400</v>
      </c>
      <c r="K23" t="s">
        <v>69</v>
      </c>
      <c r="L23" t="s">
        <v>912</v>
      </c>
      <c r="M23">
        <f>Table1_4[[#This Row],[Last_Purchase_Date]]-Table1_4[[#This Row],[Join_Date]]</f>
        <v>-40</v>
      </c>
      <c r="N23">
        <f t="shared" si="0"/>
        <v>0</v>
      </c>
      <c r="O23" t="str" cm="1">
        <f t="array" ref="O23">_xlfn.IFS(C23&gt;50, "51+", C23&gt;35, "36–50", C23&gt;25, "26–35", TRUE, "18–25")</f>
        <v>18–25</v>
      </c>
    </row>
    <row r="24" spans="1:15" x14ac:dyDescent="0.3">
      <c r="A24">
        <v>1322</v>
      </c>
      <c r="B24" t="s">
        <v>136</v>
      </c>
      <c r="C24">
        <v>0</v>
      </c>
      <c r="D24" t="s">
        <v>24</v>
      </c>
      <c r="E24" t="s">
        <v>84</v>
      </c>
      <c r="F24" t="s">
        <v>694</v>
      </c>
      <c r="G24">
        <v>4</v>
      </c>
      <c r="H24" t="s">
        <v>17</v>
      </c>
      <c r="I24" s="4">
        <v>45384</v>
      </c>
      <c r="J24" s="4">
        <v>45311</v>
      </c>
      <c r="K24" t="s">
        <v>40</v>
      </c>
      <c r="L24" t="s">
        <v>910</v>
      </c>
      <c r="M24">
        <f>Table1_4[[#This Row],[Last_Purchase_Date]]-Table1_4[[#This Row],[Join_Date]]</f>
        <v>-73</v>
      </c>
      <c r="N24">
        <f t="shared" si="0"/>
        <v>1</v>
      </c>
      <c r="O24" t="str" cm="1">
        <f t="array" ref="O24">_xlfn.IFS(C24&gt;50, "51+", C24&gt;35, "36–50", C24&gt;25, "26–35", TRUE, "18–25")</f>
        <v>18–25</v>
      </c>
    </row>
    <row r="25" spans="1:15" x14ac:dyDescent="0.3">
      <c r="A25">
        <v>1176</v>
      </c>
      <c r="B25" t="s">
        <v>74</v>
      </c>
      <c r="C25">
        <v>22</v>
      </c>
      <c r="D25" t="s">
        <v>24</v>
      </c>
      <c r="E25" t="s">
        <v>25</v>
      </c>
      <c r="F25" t="s">
        <v>698</v>
      </c>
      <c r="G25">
        <v>4</v>
      </c>
      <c r="H25" t="s">
        <v>908</v>
      </c>
      <c r="I25" s="4">
        <v>45399</v>
      </c>
      <c r="J25" s="4">
        <v>45323</v>
      </c>
      <c r="K25" t="s">
        <v>69</v>
      </c>
      <c r="L25" t="s">
        <v>909</v>
      </c>
      <c r="M25">
        <f>Table1_4[[#This Row],[Last_Purchase_Date]]-Table1_4[[#This Row],[Join_Date]]</f>
        <v>-76</v>
      </c>
      <c r="N25">
        <f t="shared" si="0"/>
        <v>0</v>
      </c>
      <c r="O25" t="str" cm="1">
        <f t="array" ref="O25">_xlfn.IFS(C25&gt;50, "51+", C25&gt;35, "36–50", C25&gt;25, "26–35", TRUE, "18–25")</f>
        <v>18–25</v>
      </c>
    </row>
    <row r="26" spans="1:15" x14ac:dyDescent="0.3">
      <c r="A26">
        <v>1135</v>
      </c>
      <c r="B26" t="s">
        <v>32</v>
      </c>
      <c r="C26">
        <v>21</v>
      </c>
      <c r="D26" t="s">
        <v>55</v>
      </c>
      <c r="E26" t="s">
        <v>84</v>
      </c>
      <c r="F26" t="s">
        <v>699</v>
      </c>
      <c r="G26">
        <v>1</v>
      </c>
      <c r="H26" t="s">
        <v>28</v>
      </c>
      <c r="I26" s="4">
        <v>45311</v>
      </c>
      <c r="J26" s="4">
        <v>45429</v>
      </c>
      <c r="K26" t="s">
        <v>69</v>
      </c>
      <c r="L26" t="s">
        <v>912</v>
      </c>
      <c r="M26">
        <f>Table1_4[[#This Row],[Last_Purchase_Date]]-Table1_4[[#This Row],[Join_Date]]</f>
        <v>118</v>
      </c>
      <c r="N26">
        <f t="shared" si="0"/>
        <v>0</v>
      </c>
      <c r="O26" t="str" cm="1">
        <f t="array" ref="O26">_xlfn.IFS(C26&gt;50, "51+", C26&gt;35, "36–50", C26&gt;25, "26–35", TRUE, "18–25")</f>
        <v>18–25</v>
      </c>
    </row>
    <row r="27" spans="1:15" x14ac:dyDescent="0.3">
      <c r="A27">
        <v>1361</v>
      </c>
      <c r="B27" t="s">
        <v>74</v>
      </c>
      <c r="C27">
        <v>25</v>
      </c>
      <c r="D27" t="s">
        <v>55</v>
      </c>
      <c r="E27" t="s">
        <v>25</v>
      </c>
      <c r="F27" t="s">
        <v>700</v>
      </c>
      <c r="G27">
        <v>5</v>
      </c>
      <c r="H27" t="s">
        <v>908</v>
      </c>
      <c r="I27" s="4">
        <v>45336</v>
      </c>
      <c r="J27" s="4">
        <v>45409</v>
      </c>
      <c r="K27" t="s">
        <v>40</v>
      </c>
      <c r="L27" t="s">
        <v>913</v>
      </c>
      <c r="M27">
        <f>Table1_4[[#This Row],[Last_Purchase_Date]]-Table1_4[[#This Row],[Join_Date]]</f>
        <v>73</v>
      </c>
      <c r="N27">
        <f t="shared" si="0"/>
        <v>1</v>
      </c>
      <c r="O27" t="str" cm="1">
        <f t="array" ref="O27">_xlfn.IFS(C27&gt;50, "51+", C27&gt;35, "36–50", C27&gt;25, "26–35", TRUE, "18–25")</f>
        <v>18–25</v>
      </c>
    </row>
    <row r="28" spans="1:15" x14ac:dyDescent="0.3">
      <c r="A28">
        <v>1099</v>
      </c>
      <c r="B28" t="s">
        <v>155</v>
      </c>
      <c r="C28">
        <v>21</v>
      </c>
      <c r="D28" t="s">
        <v>24</v>
      </c>
      <c r="E28" t="s">
        <v>156</v>
      </c>
      <c r="F28" t="s">
        <v>701</v>
      </c>
      <c r="G28">
        <v>1</v>
      </c>
      <c r="H28" t="s">
        <v>28</v>
      </c>
      <c r="I28" s="4">
        <v>45309</v>
      </c>
      <c r="J28" s="4">
        <v>45569</v>
      </c>
      <c r="K28" t="s">
        <v>69</v>
      </c>
      <c r="L28" t="s">
        <v>912</v>
      </c>
      <c r="M28">
        <f>Table1_4[[#This Row],[Last_Purchase_Date]]-Table1_4[[#This Row],[Join_Date]]</f>
        <v>260</v>
      </c>
      <c r="N28">
        <f t="shared" si="0"/>
        <v>0</v>
      </c>
      <c r="O28" t="str" cm="1">
        <f t="array" ref="O28">_xlfn.IFS(C28&gt;50, "51+", C28&gt;35, "36–50", C28&gt;25, "26–35", TRUE, "18–25")</f>
        <v>18–25</v>
      </c>
    </row>
    <row r="29" spans="1:15" x14ac:dyDescent="0.3">
      <c r="A29">
        <v>1380</v>
      </c>
      <c r="B29" t="s">
        <v>107</v>
      </c>
      <c r="C29">
        <v>25</v>
      </c>
      <c r="D29" t="s">
        <v>55</v>
      </c>
      <c r="E29" t="s">
        <v>156</v>
      </c>
      <c r="F29" t="s">
        <v>702</v>
      </c>
      <c r="G29">
        <v>5</v>
      </c>
      <c r="H29" t="s">
        <v>76</v>
      </c>
      <c r="I29" s="4">
        <v>45456</v>
      </c>
      <c r="J29" s="4">
        <v>45359</v>
      </c>
      <c r="K29" t="s">
        <v>40</v>
      </c>
      <c r="L29" t="s">
        <v>909</v>
      </c>
      <c r="M29">
        <f>Table1_4[[#This Row],[Last_Purchase_Date]]-Table1_4[[#This Row],[Join_Date]]</f>
        <v>-97</v>
      </c>
      <c r="N29">
        <f t="shared" si="0"/>
        <v>1</v>
      </c>
      <c r="O29" t="str" cm="1">
        <f t="array" ref="O29">_xlfn.IFS(C29&gt;50, "51+", C29&gt;35, "36–50", C29&gt;25, "26–35", TRUE, "18–25")</f>
        <v>18–25</v>
      </c>
    </row>
    <row r="30" spans="1:15" x14ac:dyDescent="0.3">
      <c r="A30">
        <v>1348</v>
      </c>
      <c r="B30" t="s">
        <v>163</v>
      </c>
      <c r="C30">
        <v>18</v>
      </c>
      <c r="D30" t="s">
        <v>24</v>
      </c>
      <c r="E30" t="s">
        <v>25</v>
      </c>
      <c r="F30" t="s">
        <v>703</v>
      </c>
      <c r="G30">
        <v>4</v>
      </c>
      <c r="H30" t="s">
        <v>17</v>
      </c>
      <c r="I30" s="4">
        <v>45327</v>
      </c>
      <c r="J30" s="4">
        <v>45328</v>
      </c>
      <c r="K30" t="s">
        <v>914</v>
      </c>
      <c r="L30" t="s">
        <v>911</v>
      </c>
      <c r="M30">
        <f>Table1_4[[#This Row],[Last_Purchase_Date]]-Table1_4[[#This Row],[Join_Date]]</f>
        <v>1</v>
      </c>
      <c r="N30">
        <f t="shared" si="0"/>
        <v>0</v>
      </c>
      <c r="O30" t="str" cm="1">
        <f t="array" ref="O30">_xlfn.IFS(C30&gt;50, "51+", C30&gt;35, "36–50", C30&gt;25, "26–35", TRUE, "18–25")</f>
        <v>18–25</v>
      </c>
    </row>
    <row r="31" spans="1:15" x14ac:dyDescent="0.3">
      <c r="A31">
        <v>1180</v>
      </c>
      <c r="B31" t="s">
        <v>74</v>
      </c>
      <c r="C31">
        <v>25</v>
      </c>
      <c r="D31" t="s">
        <v>24</v>
      </c>
      <c r="E31" t="s">
        <v>167</v>
      </c>
      <c r="F31" t="s">
        <v>704</v>
      </c>
      <c r="G31">
        <v>5</v>
      </c>
      <c r="H31" t="s">
        <v>908</v>
      </c>
      <c r="I31" s="4">
        <v>45429</v>
      </c>
      <c r="J31" s="4">
        <v>45367</v>
      </c>
      <c r="K31" t="s">
        <v>914</v>
      </c>
      <c r="L31" t="s">
        <v>911</v>
      </c>
      <c r="M31">
        <f>Table1_4[[#This Row],[Last_Purchase_Date]]-Table1_4[[#This Row],[Join_Date]]</f>
        <v>-62</v>
      </c>
      <c r="N31">
        <f t="shared" si="0"/>
        <v>0</v>
      </c>
      <c r="O31" t="str" cm="1">
        <f t="array" ref="O31">_xlfn.IFS(C31&gt;50, "51+", C31&gt;35, "36–50", C31&gt;25, "26–35", TRUE, "18–25")</f>
        <v>18–25</v>
      </c>
    </row>
    <row r="32" spans="1:15" x14ac:dyDescent="0.3">
      <c r="A32">
        <v>1353</v>
      </c>
      <c r="B32" t="s">
        <v>22</v>
      </c>
      <c r="C32">
        <v>19</v>
      </c>
      <c r="D32" t="s">
        <v>24</v>
      </c>
      <c r="E32" t="s">
        <v>84</v>
      </c>
      <c r="F32" t="s">
        <v>706</v>
      </c>
      <c r="G32">
        <v>3</v>
      </c>
      <c r="H32" t="s">
        <v>17</v>
      </c>
      <c r="I32" s="4">
        <v>45295</v>
      </c>
      <c r="J32" s="4">
        <v>45327</v>
      </c>
      <c r="K32" t="s">
        <v>40</v>
      </c>
      <c r="L32" t="s">
        <v>911</v>
      </c>
      <c r="M32">
        <f>Table1_4[[#This Row],[Last_Purchase_Date]]-Table1_4[[#This Row],[Join_Date]]</f>
        <v>32</v>
      </c>
      <c r="N32">
        <f t="shared" si="0"/>
        <v>1</v>
      </c>
      <c r="O32" t="str" cm="1">
        <f t="array" ref="O32">_xlfn.IFS(C32&gt;50, "51+", C32&gt;35, "36–50", C32&gt;25, "26–35", TRUE, "18–25")</f>
        <v>18–25</v>
      </c>
    </row>
    <row r="33" spans="1:15" x14ac:dyDescent="0.3">
      <c r="A33">
        <v>1213</v>
      </c>
      <c r="B33" t="s">
        <v>163</v>
      </c>
      <c r="C33">
        <v>24</v>
      </c>
      <c r="D33" t="s">
        <v>24</v>
      </c>
      <c r="E33" t="s">
        <v>84</v>
      </c>
      <c r="F33" t="s">
        <v>707</v>
      </c>
      <c r="G33">
        <v>0</v>
      </c>
      <c r="H33" t="s">
        <v>28</v>
      </c>
      <c r="I33" s="4">
        <v>45308</v>
      </c>
      <c r="J33" s="4">
        <v>45325</v>
      </c>
      <c r="K33" t="s">
        <v>20</v>
      </c>
      <c r="L33" t="s">
        <v>912</v>
      </c>
      <c r="M33">
        <f>Table1_4[[#This Row],[Last_Purchase_Date]]-Table1_4[[#This Row],[Join_Date]]</f>
        <v>17</v>
      </c>
      <c r="N33">
        <f t="shared" si="0"/>
        <v>0</v>
      </c>
      <c r="O33" t="str" cm="1">
        <f t="array" ref="O33">_xlfn.IFS(C33&gt;50, "51+", C33&gt;35, "36–50", C33&gt;25, "26–35", TRUE, "18–25")</f>
        <v>18–25</v>
      </c>
    </row>
    <row r="34" spans="1:15" x14ac:dyDescent="0.3">
      <c r="A34">
        <v>1411</v>
      </c>
      <c r="B34" t="s">
        <v>12</v>
      </c>
      <c r="C34">
        <v>18</v>
      </c>
      <c r="D34" t="s">
        <v>55</v>
      </c>
      <c r="E34" t="s">
        <v>84</v>
      </c>
      <c r="F34" t="s">
        <v>710</v>
      </c>
      <c r="G34">
        <v>1</v>
      </c>
      <c r="H34" t="s">
        <v>908</v>
      </c>
      <c r="I34" s="4">
        <v>45337</v>
      </c>
      <c r="J34" s="4">
        <v>45387</v>
      </c>
      <c r="K34" t="s">
        <v>40</v>
      </c>
      <c r="L34" t="s">
        <v>909</v>
      </c>
      <c r="M34">
        <f>Table1_4[[#This Row],[Last_Purchase_Date]]-Table1_4[[#This Row],[Join_Date]]</f>
        <v>50</v>
      </c>
      <c r="N34">
        <f t="shared" ref="N34:N65" si="1">IF(K34="Active",1,0)</f>
        <v>1</v>
      </c>
      <c r="O34" t="str" cm="1">
        <f t="array" ref="O34">_xlfn.IFS(C34&gt;50, "51+", C34&gt;35, "36–50", C34&gt;25, "26–35", TRUE, "18–25")</f>
        <v>18–25</v>
      </c>
    </row>
    <row r="35" spans="1:15" x14ac:dyDescent="0.3">
      <c r="A35">
        <v>1290</v>
      </c>
      <c r="B35" t="s">
        <v>22</v>
      </c>
      <c r="C35">
        <v>0</v>
      </c>
      <c r="D35" t="s">
        <v>55</v>
      </c>
      <c r="E35" t="s">
        <v>25</v>
      </c>
      <c r="F35" t="s">
        <v>711</v>
      </c>
      <c r="G35">
        <v>0</v>
      </c>
      <c r="H35" t="s">
        <v>28</v>
      </c>
      <c r="I35" s="4">
        <v>45413</v>
      </c>
      <c r="J35" s="4">
        <v>45346</v>
      </c>
      <c r="K35" t="s">
        <v>40</v>
      </c>
      <c r="L35" t="s">
        <v>912</v>
      </c>
      <c r="M35">
        <f>Table1_4[[#This Row],[Last_Purchase_Date]]-Table1_4[[#This Row],[Join_Date]]</f>
        <v>-67</v>
      </c>
      <c r="N35">
        <f t="shared" si="1"/>
        <v>1</v>
      </c>
      <c r="O35" t="str" cm="1">
        <f t="array" ref="O35">_xlfn.IFS(C35&gt;50, "51+", C35&gt;35, "36–50", C35&gt;25, "26–35", TRUE, "18–25")</f>
        <v>18–25</v>
      </c>
    </row>
    <row r="36" spans="1:15" x14ac:dyDescent="0.3">
      <c r="A36">
        <v>1481</v>
      </c>
      <c r="B36" t="s">
        <v>107</v>
      </c>
      <c r="C36">
        <v>23</v>
      </c>
      <c r="D36" t="s">
        <v>55</v>
      </c>
      <c r="E36" t="s">
        <v>156</v>
      </c>
      <c r="F36" t="s">
        <v>712</v>
      </c>
      <c r="G36">
        <v>4</v>
      </c>
      <c r="H36" t="s">
        <v>17</v>
      </c>
      <c r="I36" s="4">
        <v>45450</v>
      </c>
      <c r="J36" s="4">
        <v>45299</v>
      </c>
      <c r="K36" t="s">
        <v>20</v>
      </c>
      <c r="L36" t="s">
        <v>911</v>
      </c>
      <c r="M36">
        <f>Table1_4[[#This Row],[Last_Purchase_Date]]-Table1_4[[#This Row],[Join_Date]]</f>
        <v>-151</v>
      </c>
      <c r="N36">
        <f t="shared" si="1"/>
        <v>0</v>
      </c>
      <c r="O36" t="str" cm="1">
        <f t="array" ref="O36">_xlfn.IFS(C36&gt;50, "51+", C36&gt;35, "36–50", C36&gt;25, "26–35", TRUE, "18–25")</f>
        <v>18–25</v>
      </c>
    </row>
    <row r="37" spans="1:15" x14ac:dyDescent="0.3">
      <c r="A37">
        <v>1076</v>
      </c>
      <c r="B37" t="s">
        <v>120</v>
      </c>
      <c r="C37">
        <v>21</v>
      </c>
      <c r="D37" t="s">
        <v>659</v>
      </c>
      <c r="E37" t="s">
        <v>84</v>
      </c>
      <c r="F37" t="s">
        <v>713</v>
      </c>
      <c r="G37">
        <v>2</v>
      </c>
      <c r="H37" t="s">
        <v>908</v>
      </c>
      <c r="I37" s="4">
        <v>45318</v>
      </c>
      <c r="J37" s="4">
        <v>45401</v>
      </c>
      <c r="K37" t="s">
        <v>40</v>
      </c>
      <c r="L37" t="s">
        <v>911</v>
      </c>
      <c r="M37">
        <f>Table1_4[[#This Row],[Last_Purchase_Date]]-Table1_4[[#This Row],[Join_Date]]</f>
        <v>83</v>
      </c>
      <c r="N37">
        <f t="shared" si="1"/>
        <v>1</v>
      </c>
      <c r="O37" t="str" cm="1">
        <f t="array" ref="O37">_xlfn.IFS(C37&gt;50, "51+", C37&gt;35, "36–50", C37&gt;25, "26–35", TRUE, "18–25")</f>
        <v>18–25</v>
      </c>
    </row>
    <row r="38" spans="1:15" x14ac:dyDescent="0.3">
      <c r="A38">
        <v>1387</v>
      </c>
      <c r="B38" t="s">
        <v>47</v>
      </c>
      <c r="C38">
        <v>22</v>
      </c>
      <c r="D38" t="s">
        <v>55</v>
      </c>
      <c r="E38" t="s">
        <v>156</v>
      </c>
      <c r="F38" t="s">
        <v>715</v>
      </c>
      <c r="G38">
        <v>2</v>
      </c>
      <c r="H38" t="s">
        <v>28</v>
      </c>
      <c r="I38" s="4">
        <v>45455</v>
      </c>
      <c r="J38" s="4">
        <v>45444</v>
      </c>
      <c r="K38" t="s">
        <v>40</v>
      </c>
      <c r="L38" t="s">
        <v>911</v>
      </c>
      <c r="M38">
        <f>Table1_4[[#This Row],[Last_Purchase_Date]]-Table1_4[[#This Row],[Join_Date]]</f>
        <v>-11</v>
      </c>
      <c r="N38">
        <f t="shared" si="1"/>
        <v>1</v>
      </c>
      <c r="O38" t="str" cm="1">
        <f t="array" ref="O38">_xlfn.IFS(C38&gt;50, "51+", C38&gt;35, "36–50", C38&gt;25, "26–35", TRUE, "18–25")</f>
        <v>18–25</v>
      </c>
    </row>
    <row r="39" spans="1:15" x14ac:dyDescent="0.3">
      <c r="A39">
        <v>1106</v>
      </c>
      <c r="B39" t="s">
        <v>47</v>
      </c>
      <c r="C39">
        <v>21</v>
      </c>
      <c r="D39" t="s">
        <v>24</v>
      </c>
      <c r="E39" t="s">
        <v>84</v>
      </c>
      <c r="F39" t="s">
        <v>716</v>
      </c>
      <c r="G39">
        <v>5</v>
      </c>
      <c r="H39" t="s">
        <v>908</v>
      </c>
      <c r="I39" s="4">
        <v>45386</v>
      </c>
      <c r="J39" s="4">
        <v>45348</v>
      </c>
      <c r="K39" t="s">
        <v>20</v>
      </c>
      <c r="L39" t="s">
        <v>910</v>
      </c>
      <c r="M39">
        <f>Table1_4[[#This Row],[Last_Purchase_Date]]-Table1_4[[#This Row],[Join_Date]]</f>
        <v>-38</v>
      </c>
      <c r="N39">
        <f t="shared" si="1"/>
        <v>0</v>
      </c>
      <c r="O39" t="str" cm="1">
        <f t="array" ref="O39">_xlfn.IFS(C39&gt;50, "51+", C39&gt;35, "36–50", C39&gt;25, "26–35", TRUE, "18–25")</f>
        <v>18–25</v>
      </c>
    </row>
    <row r="40" spans="1:15" x14ac:dyDescent="0.3">
      <c r="A40">
        <v>1325</v>
      </c>
      <c r="B40" t="s">
        <v>47</v>
      </c>
      <c r="C40">
        <v>21</v>
      </c>
      <c r="D40" t="s">
        <v>55</v>
      </c>
      <c r="E40" t="s">
        <v>156</v>
      </c>
      <c r="F40" t="s">
        <v>717</v>
      </c>
      <c r="G40">
        <v>5</v>
      </c>
      <c r="H40" t="s">
        <v>17</v>
      </c>
      <c r="I40" s="4">
        <v>45429</v>
      </c>
      <c r="J40" s="4">
        <v>45365</v>
      </c>
      <c r="K40" t="s">
        <v>40</v>
      </c>
      <c r="L40" t="s">
        <v>911</v>
      </c>
      <c r="M40">
        <f>Table1_4[[#This Row],[Last_Purchase_Date]]-Table1_4[[#This Row],[Join_Date]]</f>
        <v>-64</v>
      </c>
      <c r="N40">
        <f t="shared" si="1"/>
        <v>1</v>
      </c>
      <c r="O40" t="str" cm="1">
        <f t="array" ref="O40">_xlfn.IFS(C40&gt;50, "51+", C40&gt;35, "36–50", C40&gt;25, "26–35", TRUE, "18–25")</f>
        <v>18–25</v>
      </c>
    </row>
    <row r="41" spans="1:15" x14ac:dyDescent="0.3">
      <c r="A41">
        <v>1064</v>
      </c>
      <c r="B41" t="s">
        <v>163</v>
      </c>
      <c r="C41">
        <v>22</v>
      </c>
      <c r="D41" t="s">
        <v>659</v>
      </c>
      <c r="E41" t="s">
        <v>25</v>
      </c>
      <c r="F41" t="s">
        <v>718</v>
      </c>
      <c r="G41">
        <v>3</v>
      </c>
      <c r="H41" t="s">
        <v>76</v>
      </c>
      <c r="I41" s="4">
        <v>45444</v>
      </c>
      <c r="J41" s="4">
        <v>45476</v>
      </c>
      <c r="K41" t="s">
        <v>40</v>
      </c>
      <c r="L41" t="s">
        <v>910</v>
      </c>
      <c r="M41">
        <f>Table1_4[[#This Row],[Last_Purchase_Date]]-Table1_4[[#This Row],[Join_Date]]</f>
        <v>32</v>
      </c>
      <c r="N41">
        <f t="shared" si="1"/>
        <v>1</v>
      </c>
      <c r="O41" t="str" cm="1">
        <f t="array" ref="O41">_xlfn.IFS(C41&gt;50, "51+", C41&gt;35, "36–50", C41&gt;25, "26–35", TRUE, "18–25")</f>
        <v>18–25</v>
      </c>
    </row>
    <row r="42" spans="1:15" x14ac:dyDescent="0.3">
      <c r="A42">
        <v>1331</v>
      </c>
      <c r="B42" t="s">
        <v>74</v>
      </c>
      <c r="C42">
        <v>25</v>
      </c>
      <c r="D42" t="s">
        <v>24</v>
      </c>
      <c r="E42" t="s">
        <v>84</v>
      </c>
      <c r="F42" t="s">
        <v>719</v>
      </c>
      <c r="G42">
        <v>3</v>
      </c>
      <c r="H42" t="s">
        <v>76</v>
      </c>
      <c r="I42" s="4">
        <v>45429</v>
      </c>
      <c r="J42" s="4">
        <v>45410</v>
      </c>
      <c r="K42" t="s">
        <v>40</v>
      </c>
      <c r="L42" t="s">
        <v>909</v>
      </c>
      <c r="M42">
        <f>Table1_4[[#This Row],[Last_Purchase_Date]]-Table1_4[[#This Row],[Join_Date]]</f>
        <v>-19</v>
      </c>
      <c r="N42">
        <f t="shared" si="1"/>
        <v>1</v>
      </c>
      <c r="O42" t="str" cm="1">
        <f t="array" ref="O42">_xlfn.IFS(C42&gt;50, "51+", C42&gt;35, "36–50", C42&gt;25, "26–35", TRUE, "18–25")</f>
        <v>18–25</v>
      </c>
    </row>
    <row r="43" spans="1:15" x14ac:dyDescent="0.3">
      <c r="A43">
        <v>1418</v>
      </c>
      <c r="B43" t="s">
        <v>117</v>
      </c>
      <c r="C43">
        <v>19</v>
      </c>
      <c r="D43" t="s">
        <v>55</v>
      </c>
      <c r="E43" t="s">
        <v>84</v>
      </c>
      <c r="F43" t="s">
        <v>720</v>
      </c>
      <c r="G43">
        <v>5</v>
      </c>
      <c r="H43" t="s">
        <v>28</v>
      </c>
      <c r="I43" s="4">
        <v>45427</v>
      </c>
      <c r="J43" s="4">
        <v>45402</v>
      </c>
      <c r="K43" t="s">
        <v>20</v>
      </c>
      <c r="L43" t="s">
        <v>909</v>
      </c>
      <c r="M43">
        <f>Table1_4[[#This Row],[Last_Purchase_Date]]-Table1_4[[#This Row],[Join_Date]]</f>
        <v>-25</v>
      </c>
      <c r="N43">
        <f t="shared" si="1"/>
        <v>0</v>
      </c>
      <c r="O43" t="str" cm="1">
        <f t="array" ref="O43">_xlfn.IFS(C43&gt;50, "51+", C43&gt;35, "36–50", C43&gt;25, "26–35", TRUE, "18–25")</f>
        <v>18–25</v>
      </c>
    </row>
    <row r="44" spans="1:15" x14ac:dyDescent="0.3">
      <c r="A44">
        <v>1314</v>
      </c>
      <c r="B44" t="s">
        <v>47</v>
      </c>
      <c r="C44">
        <v>19</v>
      </c>
      <c r="D44" t="s">
        <v>659</v>
      </c>
      <c r="E44" t="s">
        <v>25</v>
      </c>
      <c r="F44" t="s">
        <v>721</v>
      </c>
      <c r="G44">
        <v>5</v>
      </c>
      <c r="H44" t="s">
        <v>28</v>
      </c>
      <c r="I44" s="4">
        <v>45377</v>
      </c>
      <c r="J44" s="4">
        <v>45298</v>
      </c>
      <c r="K44" t="s">
        <v>40</v>
      </c>
      <c r="L44" t="s">
        <v>909</v>
      </c>
      <c r="M44">
        <f>Table1_4[[#This Row],[Last_Purchase_Date]]-Table1_4[[#This Row],[Join_Date]]</f>
        <v>-79</v>
      </c>
      <c r="N44">
        <f t="shared" si="1"/>
        <v>1</v>
      </c>
      <c r="O44" t="str" cm="1">
        <f t="array" ref="O44">_xlfn.IFS(C44&gt;50, "51+", C44&gt;35, "36–50", C44&gt;25, "26–35", TRUE, "18–25")</f>
        <v>18–25</v>
      </c>
    </row>
    <row r="45" spans="1:15" x14ac:dyDescent="0.3">
      <c r="A45">
        <v>1394</v>
      </c>
      <c r="B45" t="s">
        <v>163</v>
      </c>
      <c r="C45">
        <v>18</v>
      </c>
      <c r="D45" t="s">
        <v>24</v>
      </c>
      <c r="E45" t="s">
        <v>84</v>
      </c>
      <c r="F45" t="s">
        <v>722</v>
      </c>
      <c r="G45">
        <v>4</v>
      </c>
      <c r="H45" t="s">
        <v>28</v>
      </c>
      <c r="I45" s="4">
        <v>45628</v>
      </c>
      <c r="J45" s="4">
        <v>45300</v>
      </c>
      <c r="K45" t="s">
        <v>40</v>
      </c>
      <c r="L45" t="s">
        <v>909</v>
      </c>
      <c r="M45">
        <f>Table1_4[[#This Row],[Last_Purchase_Date]]-Table1_4[[#This Row],[Join_Date]]</f>
        <v>-328</v>
      </c>
      <c r="N45">
        <f t="shared" si="1"/>
        <v>1</v>
      </c>
      <c r="O45" t="str" cm="1">
        <f t="array" ref="O45">_xlfn.IFS(C45&gt;50, "51+", C45&gt;35, "36–50", C45&gt;25, "26–35", TRUE, "18–25")</f>
        <v>18–25</v>
      </c>
    </row>
    <row r="46" spans="1:15" x14ac:dyDescent="0.3">
      <c r="A46">
        <v>1278</v>
      </c>
      <c r="B46" t="s">
        <v>74</v>
      </c>
      <c r="C46">
        <v>19</v>
      </c>
      <c r="D46" t="s">
        <v>55</v>
      </c>
      <c r="E46" t="s">
        <v>156</v>
      </c>
      <c r="F46" t="s">
        <v>723</v>
      </c>
      <c r="G46">
        <v>5</v>
      </c>
      <c r="H46" t="s">
        <v>17</v>
      </c>
      <c r="I46" s="4">
        <v>45354</v>
      </c>
      <c r="J46" s="4">
        <v>45506</v>
      </c>
      <c r="K46" t="s">
        <v>914</v>
      </c>
      <c r="L46" t="s">
        <v>910</v>
      </c>
      <c r="M46">
        <f>Table1_4[[#This Row],[Last_Purchase_Date]]-Table1_4[[#This Row],[Join_Date]]</f>
        <v>152</v>
      </c>
      <c r="N46">
        <f t="shared" si="1"/>
        <v>0</v>
      </c>
      <c r="O46" t="str" cm="1">
        <f t="array" ref="O46">_xlfn.IFS(C46&gt;50, "51+", C46&gt;35, "36–50", C46&gt;25, "26–35", TRUE, "18–25")</f>
        <v>18–25</v>
      </c>
    </row>
    <row r="47" spans="1:15" x14ac:dyDescent="0.3">
      <c r="A47">
        <v>1205</v>
      </c>
      <c r="B47" t="s">
        <v>155</v>
      </c>
      <c r="C47">
        <v>22</v>
      </c>
      <c r="D47" t="s">
        <v>55</v>
      </c>
      <c r="E47" t="s">
        <v>84</v>
      </c>
      <c r="F47" t="s">
        <v>724</v>
      </c>
      <c r="G47">
        <v>5</v>
      </c>
      <c r="H47" t="s">
        <v>17</v>
      </c>
      <c r="I47" s="4">
        <v>45372</v>
      </c>
      <c r="J47" s="4">
        <v>45339</v>
      </c>
      <c r="K47" t="s">
        <v>40</v>
      </c>
      <c r="L47" t="s">
        <v>911</v>
      </c>
      <c r="M47">
        <f>Table1_4[[#This Row],[Last_Purchase_Date]]-Table1_4[[#This Row],[Join_Date]]</f>
        <v>-33</v>
      </c>
      <c r="N47">
        <f t="shared" si="1"/>
        <v>1</v>
      </c>
      <c r="O47" t="str" cm="1">
        <f t="array" ref="O47">_xlfn.IFS(C47&gt;50, "51+", C47&gt;35, "36–50", C47&gt;25, "26–35", TRUE, "18–25")</f>
        <v>18–25</v>
      </c>
    </row>
    <row r="48" spans="1:15" x14ac:dyDescent="0.3">
      <c r="A48">
        <v>1146</v>
      </c>
      <c r="B48" t="s">
        <v>117</v>
      </c>
      <c r="C48">
        <v>25</v>
      </c>
      <c r="D48" t="s">
        <v>659</v>
      </c>
      <c r="E48" t="s">
        <v>84</v>
      </c>
      <c r="F48" t="s">
        <v>725</v>
      </c>
      <c r="G48">
        <v>0</v>
      </c>
      <c r="H48" t="s">
        <v>76</v>
      </c>
      <c r="I48" s="4">
        <v>45448</v>
      </c>
      <c r="J48" s="4">
        <v>45383</v>
      </c>
      <c r="K48" t="s">
        <v>69</v>
      </c>
      <c r="L48" t="s">
        <v>913</v>
      </c>
      <c r="M48">
        <f>Table1_4[[#This Row],[Last_Purchase_Date]]-Table1_4[[#This Row],[Join_Date]]</f>
        <v>-65</v>
      </c>
      <c r="N48">
        <f t="shared" si="1"/>
        <v>0</v>
      </c>
      <c r="O48" t="str" cm="1">
        <f t="array" ref="O48">_xlfn.IFS(C48&gt;50, "51+", C48&gt;35, "36–50", C48&gt;25, "26–35", TRUE, "18–25")</f>
        <v>18–25</v>
      </c>
    </row>
    <row r="49" spans="1:15" x14ac:dyDescent="0.3">
      <c r="A49">
        <v>1484</v>
      </c>
      <c r="B49" t="s">
        <v>107</v>
      </c>
      <c r="C49">
        <v>20</v>
      </c>
      <c r="D49" t="s">
        <v>55</v>
      </c>
      <c r="E49" t="s">
        <v>25</v>
      </c>
      <c r="F49" t="s">
        <v>726</v>
      </c>
      <c r="G49">
        <v>5</v>
      </c>
      <c r="H49" t="s">
        <v>17</v>
      </c>
      <c r="I49" s="4">
        <v>45376</v>
      </c>
      <c r="J49" s="4">
        <v>45444</v>
      </c>
      <c r="K49" t="s">
        <v>914</v>
      </c>
      <c r="L49" t="s">
        <v>913</v>
      </c>
      <c r="M49">
        <f>Table1_4[[#This Row],[Last_Purchase_Date]]-Table1_4[[#This Row],[Join_Date]]</f>
        <v>68</v>
      </c>
      <c r="N49">
        <f t="shared" si="1"/>
        <v>0</v>
      </c>
      <c r="O49" t="str" cm="1">
        <f t="array" ref="O49">_xlfn.IFS(C49&gt;50, "51+", C49&gt;35, "36–50", C49&gt;25, "26–35", TRUE, "18–25")</f>
        <v>18–25</v>
      </c>
    </row>
    <row r="50" spans="1:15" x14ac:dyDescent="0.3">
      <c r="A50">
        <v>1271</v>
      </c>
      <c r="B50" t="s">
        <v>22</v>
      </c>
      <c r="C50">
        <v>0</v>
      </c>
      <c r="D50" t="s">
        <v>55</v>
      </c>
      <c r="E50" t="s">
        <v>84</v>
      </c>
      <c r="F50" t="s">
        <v>727</v>
      </c>
      <c r="G50">
        <v>5</v>
      </c>
      <c r="H50" t="s">
        <v>28</v>
      </c>
      <c r="I50" s="4">
        <v>45295</v>
      </c>
      <c r="J50" s="4">
        <v>45566</v>
      </c>
      <c r="K50" t="s">
        <v>40</v>
      </c>
      <c r="L50" t="s">
        <v>913</v>
      </c>
      <c r="M50">
        <f>Table1_4[[#This Row],[Last_Purchase_Date]]-Table1_4[[#This Row],[Join_Date]]</f>
        <v>271</v>
      </c>
      <c r="N50">
        <f t="shared" si="1"/>
        <v>1</v>
      </c>
      <c r="O50" t="str" cm="1">
        <f t="array" ref="O50">_xlfn.IFS(C50&gt;50, "51+", C50&gt;35, "36–50", C50&gt;25, "26–35", TRUE, "18–25")</f>
        <v>18–25</v>
      </c>
    </row>
    <row r="51" spans="1:15" x14ac:dyDescent="0.3">
      <c r="A51">
        <v>1491</v>
      </c>
      <c r="B51" t="s">
        <v>22</v>
      </c>
      <c r="C51">
        <v>0</v>
      </c>
      <c r="D51" t="s">
        <v>659</v>
      </c>
      <c r="E51" t="s">
        <v>25</v>
      </c>
      <c r="F51" t="s">
        <v>728</v>
      </c>
      <c r="G51">
        <v>4</v>
      </c>
      <c r="H51" t="s">
        <v>28</v>
      </c>
      <c r="I51" s="4">
        <v>45414</v>
      </c>
      <c r="J51" s="4">
        <v>45353</v>
      </c>
      <c r="K51" t="s">
        <v>40</v>
      </c>
      <c r="L51" t="s">
        <v>909</v>
      </c>
      <c r="M51">
        <f>Table1_4[[#This Row],[Last_Purchase_Date]]-Table1_4[[#This Row],[Join_Date]]</f>
        <v>-61</v>
      </c>
      <c r="N51">
        <f t="shared" si="1"/>
        <v>1</v>
      </c>
      <c r="O51" t="str" cm="1">
        <f t="array" ref="O51">_xlfn.IFS(C51&gt;50, "51+", C51&gt;35, "36–50", C51&gt;25, "26–35", TRUE, "18–25")</f>
        <v>18–25</v>
      </c>
    </row>
    <row r="52" spans="1:15" x14ac:dyDescent="0.3">
      <c r="A52">
        <v>1411</v>
      </c>
      <c r="B52" t="s">
        <v>22</v>
      </c>
      <c r="C52">
        <v>0</v>
      </c>
      <c r="D52" t="s">
        <v>55</v>
      </c>
      <c r="E52" t="s">
        <v>25</v>
      </c>
      <c r="F52" t="s">
        <v>729</v>
      </c>
      <c r="G52">
        <v>0</v>
      </c>
      <c r="H52" t="s">
        <v>908</v>
      </c>
      <c r="I52" s="4">
        <v>45417</v>
      </c>
      <c r="J52" s="4">
        <v>45340</v>
      </c>
      <c r="K52" t="s">
        <v>40</v>
      </c>
      <c r="L52" t="s">
        <v>911</v>
      </c>
      <c r="M52">
        <f>Table1_4[[#This Row],[Last_Purchase_Date]]-Table1_4[[#This Row],[Join_Date]]</f>
        <v>-77</v>
      </c>
      <c r="N52">
        <f t="shared" si="1"/>
        <v>1</v>
      </c>
      <c r="O52" t="str" cm="1">
        <f t="array" ref="O52">_xlfn.IFS(C52&gt;50, "51+", C52&gt;35, "36–50", C52&gt;25, "26–35", TRUE, "18–25")</f>
        <v>18–25</v>
      </c>
    </row>
    <row r="53" spans="1:15" x14ac:dyDescent="0.3">
      <c r="A53">
        <v>1158</v>
      </c>
      <c r="B53" t="s">
        <v>74</v>
      </c>
      <c r="C53">
        <v>21</v>
      </c>
      <c r="D53" t="s">
        <v>659</v>
      </c>
      <c r="E53" t="s">
        <v>167</v>
      </c>
      <c r="F53" t="s">
        <v>732</v>
      </c>
      <c r="G53">
        <v>0</v>
      </c>
      <c r="H53" t="s">
        <v>17</v>
      </c>
      <c r="I53" s="4">
        <v>45379</v>
      </c>
      <c r="J53" s="4">
        <v>45471</v>
      </c>
      <c r="K53" t="s">
        <v>40</v>
      </c>
      <c r="L53" t="s">
        <v>910</v>
      </c>
      <c r="M53">
        <f>Table1_4[[#This Row],[Last_Purchase_Date]]-Table1_4[[#This Row],[Join_Date]]</f>
        <v>92</v>
      </c>
      <c r="N53">
        <f t="shared" si="1"/>
        <v>1</v>
      </c>
      <c r="O53" t="str" cm="1">
        <f t="array" ref="O53">_xlfn.IFS(C53&gt;50, "51+", C53&gt;35, "36–50", C53&gt;25, "26–35", TRUE, "18–25")</f>
        <v>18–25</v>
      </c>
    </row>
    <row r="54" spans="1:15" x14ac:dyDescent="0.3">
      <c r="A54">
        <v>1180</v>
      </c>
      <c r="B54" t="s">
        <v>22</v>
      </c>
      <c r="C54">
        <v>22</v>
      </c>
      <c r="D54" t="s">
        <v>55</v>
      </c>
      <c r="E54" t="s">
        <v>25</v>
      </c>
      <c r="F54" t="s">
        <v>733</v>
      </c>
      <c r="G54">
        <v>4</v>
      </c>
      <c r="H54" t="s">
        <v>76</v>
      </c>
      <c r="I54" s="4">
        <v>45387</v>
      </c>
      <c r="J54" s="4">
        <v>45448</v>
      </c>
      <c r="K54" t="s">
        <v>40</v>
      </c>
      <c r="L54" t="s">
        <v>913</v>
      </c>
      <c r="M54">
        <f>Table1_4[[#This Row],[Last_Purchase_Date]]-Table1_4[[#This Row],[Join_Date]]</f>
        <v>61</v>
      </c>
      <c r="N54">
        <f t="shared" si="1"/>
        <v>1</v>
      </c>
      <c r="O54" t="str" cm="1">
        <f t="array" ref="O54">_xlfn.IFS(C54&gt;50, "51+", C54&gt;35, "36–50", C54&gt;25, "26–35", TRUE, "18–25")</f>
        <v>18–25</v>
      </c>
    </row>
    <row r="55" spans="1:15" x14ac:dyDescent="0.3">
      <c r="A55">
        <v>1070</v>
      </c>
      <c r="B55" t="s">
        <v>107</v>
      </c>
      <c r="C55">
        <v>22</v>
      </c>
      <c r="D55" t="s">
        <v>24</v>
      </c>
      <c r="E55" t="s">
        <v>167</v>
      </c>
      <c r="F55" t="s">
        <v>734</v>
      </c>
      <c r="G55">
        <v>5</v>
      </c>
      <c r="H55" t="s">
        <v>17</v>
      </c>
      <c r="I55" s="4">
        <v>45304</v>
      </c>
      <c r="J55" s="4">
        <v>45477</v>
      </c>
      <c r="K55" t="s">
        <v>40</v>
      </c>
      <c r="L55" t="s">
        <v>911</v>
      </c>
      <c r="M55">
        <f>Table1_4[[#This Row],[Last_Purchase_Date]]-Table1_4[[#This Row],[Join_Date]]</f>
        <v>173</v>
      </c>
      <c r="N55">
        <f t="shared" si="1"/>
        <v>1</v>
      </c>
      <c r="O55" t="str" cm="1">
        <f t="array" ref="O55">_xlfn.IFS(C55&gt;50, "51+", C55&gt;35, "36–50", C55&gt;25, "26–35", TRUE, "18–25")</f>
        <v>18–25</v>
      </c>
    </row>
    <row r="56" spans="1:15" x14ac:dyDescent="0.3">
      <c r="A56">
        <v>1365</v>
      </c>
      <c r="B56" t="s">
        <v>22</v>
      </c>
      <c r="C56">
        <v>24</v>
      </c>
      <c r="D56" t="s">
        <v>659</v>
      </c>
      <c r="E56" t="s">
        <v>156</v>
      </c>
      <c r="F56" t="s">
        <v>735</v>
      </c>
      <c r="G56">
        <v>1</v>
      </c>
      <c r="H56" t="s">
        <v>908</v>
      </c>
      <c r="I56" s="4">
        <v>45445</v>
      </c>
      <c r="J56" s="4">
        <v>45374</v>
      </c>
      <c r="K56" t="s">
        <v>914</v>
      </c>
      <c r="L56" t="s">
        <v>909</v>
      </c>
      <c r="M56">
        <f>Table1_4[[#This Row],[Last_Purchase_Date]]-Table1_4[[#This Row],[Join_Date]]</f>
        <v>-71</v>
      </c>
      <c r="N56">
        <f t="shared" si="1"/>
        <v>0</v>
      </c>
      <c r="O56" t="str" cm="1">
        <f t="array" ref="O56">_xlfn.IFS(C56&gt;50, "51+", C56&gt;35, "36–50", C56&gt;25, "26–35", TRUE, "18–25")</f>
        <v>18–25</v>
      </c>
    </row>
    <row r="57" spans="1:15" x14ac:dyDescent="0.3">
      <c r="A57">
        <v>1371</v>
      </c>
      <c r="B57" t="s">
        <v>155</v>
      </c>
      <c r="C57">
        <v>20</v>
      </c>
      <c r="D57" t="s">
        <v>24</v>
      </c>
      <c r="E57" t="s">
        <v>84</v>
      </c>
      <c r="F57" t="s">
        <v>736</v>
      </c>
      <c r="G57">
        <v>2</v>
      </c>
      <c r="H57" t="s">
        <v>76</v>
      </c>
      <c r="I57" s="4">
        <v>45373</v>
      </c>
      <c r="J57" s="4">
        <v>45465</v>
      </c>
      <c r="K57" t="s">
        <v>40</v>
      </c>
      <c r="L57" t="s">
        <v>913</v>
      </c>
      <c r="M57">
        <f>Table1_4[[#This Row],[Last_Purchase_Date]]-Table1_4[[#This Row],[Join_Date]]</f>
        <v>92</v>
      </c>
      <c r="N57">
        <f t="shared" si="1"/>
        <v>1</v>
      </c>
      <c r="O57" t="str" cm="1">
        <f t="array" ref="O57">_xlfn.IFS(C57&gt;50, "51+", C57&gt;35, "36–50", C57&gt;25, "26–35", TRUE, "18–25")</f>
        <v>18–25</v>
      </c>
    </row>
    <row r="58" spans="1:15" x14ac:dyDescent="0.3">
      <c r="A58">
        <v>1208</v>
      </c>
      <c r="B58" t="s">
        <v>47</v>
      </c>
      <c r="C58">
        <v>25</v>
      </c>
      <c r="D58" t="s">
        <v>659</v>
      </c>
      <c r="E58" t="s">
        <v>84</v>
      </c>
      <c r="F58" t="s">
        <v>738</v>
      </c>
      <c r="G58">
        <v>1</v>
      </c>
      <c r="H58" t="s">
        <v>28</v>
      </c>
      <c r="I58" s="4">
        <v>45342</v>
      </c>
      <c r="J58" s="4">
        <v>45369</v>
      </c>
      <c r="K58" t="s">
        <v>40</v>
      </c>
      <c r="L58" t="s">
        <v>913</v>
      </c>
      <c r="M58">
        <f>Table1_4[[#This Row],[Last_Purchase_Date]]-Table1_4[[#This Row],[Join_Date]]</f>
        <v>27</v>
      </c>
      <c r="N58">
        <f t="shared" si="1"/>
        <v>1</v>
      </c>
      <c r="O58" t="str" cm="1">
        <f t="array" ref="O58">_xlfn.IFS(C58&gt;50, "51+", C58&gt;35, "36–50", C58&gt;25, "26–35", TRUE, "18–25")</f>
        <v>18–25</v>
      </c>
    </row>
    <row r="59" spans="1:15" x14ac:dyDescent="0.3">
      <c r="A59">
        <v>1390</v>
      </c>
      <c r="B59" t="s">
        <v>47</v>
      </c>
      <c r="C59">
        <v>25</v>
      </c>
      <c r="D59" t="s">
        <v>24</v>
      </c>
      <c r="E59" t="s">
        <v>84</v>
      </c>
      <c r="F59" t="s">
        <v>739</v>
      </c>
      <c r="G59">
        <v>5</v>
      </c>
      <c r="H59" t="s">
        <v>908</v>
      </c>
      <c r="I59" s="4">
        <v>45357</v>
      </c>
      <c r="J59" s="4">
        <v>45319</v>
      </c>
      <c r="K59" t="s">
        <v>40</v>
      </c>
      <c r="L59" t="s">
        <v>911</v>
      </c>
      <c r="M59">
        <f>Table1_4[[#This Row],[Last_Purchase_Date]]-Table1_4[[#This Row],[Join_Date]]</f>
        <v>-38</v>
      </c>
      <c r="N59">
        <f t="shared" si="1"/>
        <v>1</v>
      </c>
      <c r="O59" t="str" cm="1">
        <f t="array" ref="O59">_xlfn.IFS(C59&gt;50, "51+", C59&gt;35, "36–50", C59&gt;25, "26–35", TRUE, "18–25")</f>
        <v>18–25</v>
      </c>
    </row>
    <row r="60" spans="1:15" x14ac:dyDescent="0.3">
      <c r="A60">
        <v>1255</v>
      </c>
      <c r="B60" t="s">
        <v>74</v>
      </c>
      <c r="C60">
        <v>0</v>
      </c>
      <c r="D60" t="s">
        <v>24</v>
      </c>
      <c r="E60" t="s">
        <v>156</v>
      </c>
      <c r="F60" t="s">
        <v>741</v>
      </c>
      <c r="G60">
        <v>1</v>
      </c>
      <c r="H60" t="s">
        <v>908</v>
      </c>
      <c r="I60" s="4">
        <v>45466</v>
      </c>
      <c r="J60" s="4">
        <v>45467</v>
      </c>
      <c r="K60" t="s">
        <v>20</v>
      </c>
      <c r="L60" t="s">
        <v>910</v>
      </c>
      <c r="M60">
        <f>Table1_4[[#This Row],[Last_Purchase_Date]]-Table1_4[[#This Row],[Join_Date]]</f>
        <v>1</v>
      </c>
      <c r="N60">
        <f t="shared" si="1"/>
        <v>0</v>
      </c>
      <c r="O60" t="str" cm="1">
        <f t="array" ref="O60">_xlfn.IFS(C60&gt;50, "51+", C60&gt;35, "36–50", C60&gt;25, "26–35", TRUE, "18–25")</f>
        <v>18–25</v>
      </c>
    </row>
    <row r="61" spans="1:15" x14ac:dyDescent="0.3">
      <c r="A61">
        <v>1244</v>
      </c>
      <c r="B61" t="s">
        <v>22</v>
      </c>
      <c r="C61">
        <v>25</v>
      </c>
      <c r="D61" t="s">
        <v>659</v>
      </c>
      <c r="E61" t="s">
        <v>167</v>
      </c>
      <c r="F61" t="s">
        <v>742</v>
      </c>
      <c r="G61">
        <v>4</v>
      </c>
      <c r="H61" t="s">
        <v>28</v>
      </c>
      <c r="I61" s="4">
        <v>45359</v>
      </c>
      <c r="J61" s="4">
        <v>45356</v>
      </c>
      <c r="K61" t="s">
        <v>914</v>
      </c>
      <c r="L61" t="s">
        <v>910</v>
      </c>
      <c r="M61">
        <f>Table1_4[[#This Row],[Last_Purchase_Date]]-Table1_4[[#This Row],[Join_Date]]</f>
        <v>-3</v>
      </c>
      <c r="N61">
        <f t="shared" si="1"/>
        <v>0</v>
      </c>
      <c r="O61" t="str" cm="1">
        <f t="array" ref="O61">_xlfn.IFS(C61&gt;50, "51+", C61&gt;35, "36–50", C61&gt;25, "26–35", TRUE, "18–25")</f>
        <v>18–25</v>
      </c>
    </row>
    <row r="62" spans="1:15" x14ac:dyDescent="0.3">
      <c r="A62">
        <v>1359</v>
      </c>
      <c r="B62" t="s">
        <v>107</v>
      </c>
      <c r="C62">
        <v>19</v>
      </c>
      <c r="D62" t="s">
        <v>24</v>
      </c>
      <c r="E62" t="s">
        <v>25</v>
      </c>
      <c r="F62" t="s">
        <v>743</v>
      </c>
      <c r="G62">
        <v>3</v>
      </c>
      <c r="H62" t="s">
        <v>28</v>
      </c>
      <c r="I62" s="4">
        <v>45362</v>
      </c>
      <c r="J62" s="4">
        <v>45341</v>
      </c>
      <c r="K62" t="s">
        <v>20</v>
      </c>
      <c r="L62" t="s">
        <v>909</v>
      </c>
      <c r="M62">
        <f>Table1_4[[#This Row],[Last_Purchase_Date]]-Table1_4[[#This Row],[Join_Date]]</f>
        <v>-21</v>
      </c>
      <c r="N62">
        <f t="shared" si="1"/>
        <v>0</v>
      </c>
      <c r="O62" t="str" cm="1">
        <f t="array" ref="O62">_xlfn.IFS(C62&gt;50, "51+", C62&gt;35, "36–50", C62&gt;25, "26–35", TRUE, "18–25")</f>
        <v>18–25</v>
      </c>
    </row>
    <row r="63" spans="1:15" x14ac:dyDescent="0.3">
      <c r="A63">
        <v>1459</v>
      </c>
      <c r="B63" t="s">
        <v>74</v>
      </c>
      <c r="C63">
        <v>22</v>
      </c>
      <c r="D63" t="s">
        <v>24</v>
      </c>
      <c r="E63" t="s">
        <v>156</v>
      </c>
      <c r="F63" t="s">
        <v>744</v>
      </c>
      <c r="G63">
        <v>0</v>
      </c>
      <c r="H63" t="s">
        <v>28</v>
      </c>
      <c r="I63" s="4">
        <v>45328</v>
      </c>
      <c r="J63" s="4">
        <v>45333</v>
      </c>
      <c r="K63" t="s">
        <v>20</v>
      </c>
      <c r="L63" t="s">
        <v>913</v>
      </c>
      <c r="M63">
        <f>Table1_4[[#This Row],[Last_Purchase_Date]]-Table1_4[[#This Row],[Join_Date]]</f>
        <v>5</v>
      </c>
      <c r="N63">
        <f t="shared" si="1"/>
        <v>0</v>
      </c>
      <c r="O63" t="str" cm="1">
        <f t="array" ref="O63">_xlfn.IFS(C63&gt;50, "51+", C63&gt;35, "36–50", C63&gt;25, "26–35", TRUE, "18–25")</f>
        <v>18–25</v>
      </c>
    </row>
    <row r="64" spans="1:15" x14ac:dyDescent="0.3">
      <c r="A64">
        <v>1455</v>
      </c>
      <c r="B64" t="s">
        <v>74</v>
      </c>
      <c r="C64">
        <v>25</v>
      </c>
      <c r="D64" t="s">
        <v>55</v>
      </c>
      <c r="E64" t="s">
        <v>156</v>
      </c>
      <c r="F64" t="s">
        <v>746</v>
      </c>
      <c r="G64">
        <v>1</v>
      </c>
      <c r="H64" t="s">
        <v>28</v>
      </c>
      <c r="I64" s="4">
        <v>45399</v>
      </c>
      <c r="J64" s="4">
        <v>45348</v>
      </c>
      <c r="K64" t="s">
        <v>20</v>
      </c>
      <c r="L64" t="s">
        <v>909</v>
      </c>
      <c r="M64">
        <f>Table1_4[[#This Row],[Last_Purchase_Date]]-Table1_4[[#This Row],[Join_Date]]</f>
        <v>-51</v>
      </c>
      <c r="N64">
        <f t="shared" si="1"/>
        <v>0</v>
      </c>
      <c r="O64" t="str" cm="1">
        <f t="array" ref="O64">_xlfn.IFS(C64&gt;50, "51+", C64&gt;35, "36–50", C64&gt;25, "26–35", TRUE, "18–25")</f>
        <v>18–25</v>
      </c>
    </row>
    <row r="65" spans="1:15" x14ac:dyDescent="0.3">
      <c r="A65">
        <v>1129</v>
      </c>
      <c r="B65" t="s">
        <v>107</v>
      </c>
      <c r="C65">
        <v>0</v>
      </c>
      <c r="D65" t="s">
        <v>24</v>
      </c>
      <c r="E65" t="s">
        <v>156</v>
      </c>
      <c r="F65" t="s">
        <v>747</v>
      </c>
      <c r="G65">
        <v>1</v>
      </c>
      <c r="H65" t="s">
        <v>76</v>
      </c>
      <c r="I65" s="4">
        <v>45406</v>
      </c>
      <c r="J65" s="4">
        <v>45439</v>
      </c>
      <c r="K65" t="s">
        <v>40</v>
      </c>
      <c r="L65" t="s">
        <v>911</v>
      </c>
      <c r="M65">
        <f>Table1_4[[#This Row],[Last_Purchase_Date]]-Table1_4[[#This Row],[Join_Date]]</f>
        <v>33</v>
      </c>
      <c r="N65">
        <f t="shared" si="1"/>
        <v>1</v>
      </c>
      <c r="O65" t="str" cm="1">
        <f t="array" ref="O65">_xlfn.IFS(C65&gt;50, "51+", C65&gt;35, "36–50", C65&gt;25, "26–35", TRUE, "18–25")</f>
        <v>18–25</v>
      </c>
    </row>
    <row r="66" spans="1:15" x14ac:dyDescent="0.3">
      <c r="A66">
        <v>1186</v>
      </c>
      <c r="B66" t="s">
        <v>120</v>
      </c>
      <c r="C66">
        <v>0</v>
      </c>
      <c r="D66" t="s">
        <v>659</v>
      </c>
      <c r="E66" t="s">
        <v>167</v>
      </c>
      <c r="F66" t="s">
        <v>749</v>
      </c>
      <c r="G66">
        <v>2</v>
      </c>
      <c r="H66" t="s">
        <v>76</v>
      </c>
      <c r="I66" s="4">
        <v>45332</v>
      </c>
      <c r="J66" s="4">
        <v>45337</v>
      </c>
      <c r="K66" t="s">
        <v>20</v>
      </c>
      <c r="L66" t="s">
        <v>912</v>
      </c>
      <c r="M66">
        <f>Table1_4[[#This Row],[Last_Purchase_Date]]-Table1_4[[#This Row],[Join_Date]]</f>
        <v>5</v>
      </c>
      <c r="N66">
        <f t="shared" ref="N66:N97" si="2">IF(K66="Active",1,0)</f>
        <v>0</v>
      </c>
      <c r="O66" t="str" cm="1">
        <f t="array" ref="O66">_xlfn.IFS(C66&gt;50, "51+", C66&gt;35, "36–50", C66&gt;25, "26–35", TRUE, "18–25")</f>
        <v>18–25</v>
      </c>
    </row>
    <row r="67" spans="1:15" x14ac:dyDescent="0.3">
      <c r="A67">
        <v>1357</v>
      </c>
      <c r="B67" t="s">
        <v>22</v>
      </c>
      <c r="C67">
        <v>24</v>
      </c>
      <c r="D67" t="s">
        <v>55</v>
      </c>
      <c r="E67" t="s">
        <v>25</v>
      </c>
      <c r="F67" t="s">
        <v>750</v>
      </c>
      <c r="G67">
        <v>4</v>
      </c>
      <c r="H67" t="s">
        <v>28</v>
      </c>
      <c r="I67" s="4">
        <v>45366</v>
      </c>
      <c r="J67" s="4">
        <v>45395</v>
      </c>
      <c r="K67" t="s">
        <v>40</v>
      </c>
      <c r="L67" t="s">
        <v>912</v>
      </c>
      <c r="M67">
        <f>Table1_4[[#This Row],[Last_Purchase_Date]]-Table1_4[[#This Row],[Join_Date]]</f>
        <v>29</v>
      </c>
      <c r="N67">
        <f t="shared" si="2"/>
        <v>1</v>
      </c>
      <c r="O67" t="str" cm="1">
        <f t="array" ref="O67">_xlfn.IFS(C67&gt;50, "51+", C67&gt;35, "36–50", C67&gt;25, "26–35", TRUE, "18–25")</f>
        <v>18–25</v>
      </c>
    </row>
    <row r="68" spans="1:15" x14ac:dyDescent="0.3">
      <c r="A68">
        <v>1183</v>
      </c>
      <c r="B68" t="s">
        <v>163</v>
      </c>
      <c r="C68">
        <v>21</v>
      </c>
      <c r="D68" t="s">
        <v>659</v>
      </c>
      <c r="E68" t="s">
        <v>84</v>
      </c>
      <c r="F68" t="s">
        <v>751</v>
      </c>
      <c r="G68">
        <v>5</v>
      </c>
      <c r="H68" t="s">
        <v>28</v>
      </c>
      <c r="I68" s="4">
        <v>45405</v>
      </c>
      <c r="J68" s="4">
        <v>45361</v>
      </c>
      <c r="K68" t="s">
        <v>20</v>
      </c>
      <c r="L68" t="s">
        <v>912</v>
      </c>
      <c r="M68">
        <f>Table1_4[[#This Row],[Last_Purchase_Date]]-Table1_4[[#This Row],[Join_Date]]</f>
        <v>-44</v>
      </c>
      <c r="N68">
        <f t="shared" si="2"/>
        <v>0</v>
      </c>
      <c r="O68" t="str" cm="1">
        <f t="array" ref="O68">_xlfn.IFS(C68&gt;50, "51+", C68&gt;35, "36–50", C68&gt;25, "26–35", TRUE, "18–25")</f>
        <v>18–25</v>
      </c>
    </row>
    <row r="69" spans="1:15" x14ac:dyDescent="0.3">
      <c r="A69">
        <v>1434</v>
      </c>
      <c r="B69" t="s">
        <v>136</v>
      </c>
      <c r="C69">
        <v>19</v>
      </c>
      <c r="D69" t="s">
        <v>24</v>
      </c>
      <c r="E69" t="s">
        <v>25</v>
      </c>
      <c r="F69" t="s">
        <v>753</v>
      </c>
      <c r="G69">
        <v>5</v>
      </c>
      <c r="H69" t="s">
        <v>17</v>
      </c>
      <c r="I69" s="4">
        <v>45324</v>
      </c>
      <c r="J69" s="4">
        <v>45426</v>
      </c>
      <c r="K69" t="s">
        <v>69</v>
      </c>
      <c r="L69" t="s">
        <v>913</v>
      </c>
      <c r="M69">
        <f>Table1_4[[#This Row],[Last_Purchase_Date]]-Table1_4[[#This Row],[Join_Date]]</f>
        <v>102</v>
      </c>
      <c r="N69">
        <f t="shared" si="2"/>
        <v>0</v>
      </c>
      <c r="O69" t="str" cm="1">
        <f t="array" ref="O69">_xlfn.IFS(C69&gt;50, "51+", C69&gt;35, "36–50", C69&gt;25, "26–35", TRUE, "18–25")</f>
        <v>18–25</v>
      </c>
    </row>
    <row r="70" spans="1:15" x14ac:dyDescent="0.3">
      <c r="A70">
        <v>1468</v>
      </c>
      <c r="B70" t="s">
        <v>32</v>
      </c>
      <c r="C70">
        <v>19</v>
      </c>
      <c r="D70" t="s">
        <v>55</v>
      </c>
      <c r="E70" t="s">
        <v>84</v>
      </c>
      <c r="F70" t="s">
        <v>754</v>
      </c>
      <c r="G70">
        <v>5</v>
      </c>
      <c r="H70" t="s">
        <v>908</v>
      </c>
      <c r="I70" s="4">
        <v>45296</v>
      </c>
      <c r="J70" s="4">
        <v>45437</v>
      </c>
      <c r="K70" t="s">
        <v>40</v>
      </c>
      <c r="L70" t="s">
        <v>913</v>
      </c>
      <c r="M70">
        <f>Table1_4[[#This Row],[Last_Purchase_Date]]-Table1_4[[#This Row],[Join_Date]]</f>
        <v>141</v>
      </c>
      <c r="N70">
        <f t="shared" si="2"/>
        <v>1</v>
      </c>
      <c r="O70" t="str" cm="1">
        <f t="array" ref="O70">_xlfn.IFS(C70&gt;50, "51+", C70&gt;35, "36–50", C70&gt;25, "26–35", TRUE, "18–25")</f>
        <v>18–25</v>
      </c>
    </row>
    <row r="71" spans="1:15" x14ac:dyDescent="0.3">
      <c r="A71">
        <v>1312</v>
      </c>
      <c r="B71" t="s">
        <v>12</v>
      </c>
      <c r="C71">
        <v>25</v>
      </c>
      <c r="D71" t="s">
        <v>55</v>
      </c>
      <c r="E71" t="s">
        <v>167</v>
      </c>
      <c r="F71" t="s">
        <v>755</v>
      </c>
      <c r="G71">
        <v>5</v>
      </c>
      <c r="H71" t="s">
        <v>17</v>
      </c>
      <c r="I71" s="4">
        <v>45461</v>
      </c>
      <c r="J71" s="4">
        <v>45325</v>
      </c>
      <c r="K71" t="s">
        <v>40</v>
      </c>
      <c r="L71" t="s">
        <v>909</v>
      </c>
      <c r="M71">
        <f>Table1_4[[#This Row],[Last_Purchase_Date]]-Table1_4[[#This Row],[Join_Date]]</f>
        <v>-136</v>
      </c>
      <c r="N71">
        <f t="shared" si="2"/>
        <v>1</v>
      </c>
      <c r="O71" t="str" cm="1">
        <f t="array" ref="O71">_xlfn.IFS(C71&gt;50, "51+", C71&gt;35, "36–50", C71&gt;25, "26–35", TRUE, "18–25")</f>
        <v>18–25</v>
      </c>
    </row>
    <row r="72" spans="1:15" x14ac:dyDescent="0.3">
      <c r="A72">
        <v>1018</v>
      </c>
      <c r="B72" t="s">
        <v>107</v>
      </c>
      <c r="C72">
        <v>0</v>
      </c>
      <c r="D72" t="s">
        <v>659</v>
      </c>
      <c r="E72" t="s">
        <v>25</v>
      </c>
      <c r="F72" t="s">
        <v>758</v>
      </c>
      <c r="G72">
        <v>5</v>
      </c>
      <c r="H72" t="s">
        <v>28</v>
      </c>
      <c r="I72" s="4">
        <v>45431</v>
      </c>
      <c r="J72" s="4">
        <v>45388</v>
      </c>
      <c r="K72" t="s">
        <v>40</v>
      </c>
      <c r="L72" t="s">
        <v>909</v>
      </c>
      <c r="M72">
        <f>Table1_4[[#This Row],[Last_Purchase_Date]]-Table1_4[[#This Row],[Join_Date]]</f>
        <v>-43</v>
      </c>
      <c r="N72">
        <f t="shared" si="2"/>
        <v>1</v>
      </c>
      <c r="O72" t="str" cm="1">
        <f t="array" ref="O72">_xlfn.IFS(C72&gt;50, "51+", C72&gt;35, "36–50", C72&gt;25, "26–35", TRUE, "18–25")</f>
        <v>18–25</v>
      </c>
    </row>
    <row r="73" spans="1:15" x14ac:dyDescent="0.3">
      <c r="A73">
        <v>1001</v>
      </c>
      <c r="B73" t="s">
        <v>74</v>
      </c>
      <c r="C73">
        <v>25</v>
      </c>
      <c r="D73" t="s">
        <v>659</v>
      </c>
      <c r="E73" t="s">
        <v>167</v>
      </c>
      <c r="F73" t="s">
        <v>760</v>
      </c>
      <c r="G73">
        <v>4</v>
      </c>
      <c r="H73" t="s">
        <v>28</v>
      </c>
      <c r="I73" s="4">
        <v>45354</v>
      </c>
      <c r="J73" s="4">
        <v>45397</v>
      </c>
      <c r="K73" t="s">
        <v>40</v>
      </c>
      <c r="L73" t="s">
        <v>912</v>
      </c>
      <c r="M73">
        <f>Table1_4[[#This Row],[Last_Purchase_Date]]-Table1_4[[#This Row],[Join_Date]]</f>
        <v>43</v>
      </c>
      <c r="N73">
        <f t="shared" si="2"/>
        <v>1</v>
      </c>
      <c r="O73" t="str" cm="1">
        <f t="array" ref="O73">_xlfn.IFS(C73&gt;50, "51+", C73&gt;35, "36–50", C73&gt;25, "26–35", TRUE, "18–25")</f>
        <v>18–25</v>
      </c>
    </row>
    <row r="74" spans="1:15" x14ac:dyDescent="0.3">
      <c r="A74">
        <v>1051</v>
      </c>
      <c r="B74" t="s">
        <v>163</v>
      </c>
      <c r="C74">
        <v>19</v>
      </c>
      <c r="D74" t="s">
        <v>24</v>
      </c>
      <c r="E74" t="s">
        <v>84</v>
      </c>
      <c r="F74" t="s">
        <v>761</v>
      </c>
      <c r="G74">
        <v>1</v>
      </c>
      <c r="H74" t="s">
        <v>17</v>
      </c>
      <c r="I74" s="4">
        <v>45350</v>
      </c>
      <c r="J74" s="4">
        <v>45325</v>
      </c>
      <c r="K74" t="s">
        <v>40</v>
      </c>
      <c r="L74" t="s">
        <v>911</v>
      </c>
      <c r="M74">
        <f>Table1_4[[#This Row],[Last_Purchase_Date]]-Table1_4[[#This Row],[Join_Date]]</f>
        <v>-25</v>
      </c>
      <c r="N74">
        <f t="shared" si="2"/>
        <v>1</v>
      </c>
      <c r="O74" t="str" cm="1">
        <f t="array" ref="O74">_xlfn.IFS(C74&gt;50, "51+", C74&gt;35, "36–50", C74&gt;25, "26–35", TRUE, "18–25")</f>
        <v>18–25</v>
      </c>
    </row>
    <row r="75" spans="1:15" x14ac:dyDescent="0.3">
      <c r="A75">
        <v>1373</v>
      </c>
      <c r="B75" t="s">
        <v>12</v>
      </c>
      <c r="C75">
        <v>0</v>
      </c>
      <c r="D75" t="s">
        <v>24</v>
      </c>
      <c r="E75" t="s">
        <v>84</v>
      </c>
      <c r="F75" t="s">
        <v>763</v>
      </c>
      <c r="G75">
        <v>5</v>
      </c>
      <c r="H75" t="s">
        <v>908</v>
      </c>
      <c r="I75" s="4">
        <v>45428</v>
      </c>
      <c r="J75" s="4">
        <v>45343</v>
      </c>
      <c r="K75" t="s">
        <v>40</v>
      </c>
      <c r="L75" t="s">
        <v>913</v>
      </c>
      <c r="M75">
        <f>Table1_4[[#This Row],[Last_Purchase_Date]]-Table1_4[[#This Row],[Join_Date]]</f>
        <v>-85</v>
      </c>
      <c r="N75">
        <f t="shared" si="2"/>
        <v>1</v>
      </c>
      <c r="O75" t="str" cm="1">
        <f t="array" ref="O75">_xlfn.IFS(C75&gt;50, "51+", C75&gt;35, "36–50", C75&gt;25, "26–35", TRUE, "18–25")</f>
        <v>18–25</v>
      </c>
    </row>
    <row r="76" spans="1:15" x14ac:dyDescent="0.3">
      <c r="A76">
        <v>1056</v>
      </c>
      <c r="B76" t="s">
        <v>12</v>
      </c>
      <c r="C76">
        <v>22</v>
      </c>
      <c r="D76" t="s">
        <v>24</v>
      </c>
      <c r="E76" t="s">
        <v>25</v>
      </c>
      <c r="F76" t="s">
        <v>766</v>
      </c>
      <c r="G76">
        <v>5</v>
      </c>
      <c r="H76" t="s">
        <v>908</v>
      </c>
      <c r="I76" s="4">
        <v>45571</v>
      </c>
      <c r="J76" s="4">
        <v>45598</v>
      </c>
      <c r="K76" t="s">
        <v>40</v>
      </c>
      <c r="L76" t="s">
        <v>913</v>
      </c>
      <c r="M76">
        <f>Table1_4[[#This Row],[Last_Purchase_Date]]-Table1_4[[#This Row],[Join_Date]]</f>
        <v>27</v>
      </c>
      <c r="N76">
        <f t="shared" si="2"/>
        <v>1</v>
      </c>
      <c r="O76" t="str" cm="1">
        <f t="array" ref="O76">_xlfn.IFS(C76&gt;50, "51+", C76&gt;35, "36–50", C76&gt;25, "26–35", TRUE, "18–25")</f>
        <v>18–25</v>
      </c>
    </row>
    <row r="77" spans="1:15" x14ac:dyDescent="0.3">
      <c r="A77">
        <v>1475</v>
      </c>
      <c r="B77" t="s">
        <v>74</v>
      </c>
      <c r="C77">
        <v>22</v>
      </c>
      <c r="D77" t="s">
        <v>55</v>
      </c>
      <c r="E77" t="s">
        <v>25</v>
      </c>
      <c r="F77" t="s">
        <v>767</v>
      </c>
      <c r="G77">
        <v>0</v>
      </c>
      <c r="H77" t="s">
        <v>28</v>
      </c>
      <c r="I77" s="4">
        <v>45426</v>
      </c>
      <c r="J77" s="4">
        <v>45312</v>
      </c>
      <c r="K77" t="s">
        <v>20</v>
      </c>
      <c r="L77" t="s">
        <v>912</v>
      </c>
      <c r="M77">
        <f>Table1_4[[#This Row],[Last_Purchase_Date]]-Table1_4[[#This Row],[Join_Date]]</f>
        <v>-114</v>
      </c>
      <c r="N77">
        <f t="shared" si="2"/>
        <v>0</v>
      </c>
      <c r="O77" t="str" cm="1">
        <f t="array" ref="O77">_xlfn.IFS(C77&gt;50, "51+", C77&gt;35, "36–50", C77&gt;25, "26–35", TRUE, "18–25")</f>
        <v>18–25</v>
      </c>
    </row>
    <row r="78" spans="1:15" x14ac:dyDescent="0.3">
      <c r="A78">
        <v>1003</v>
      </c>
      <c r="B78" t="s">
        <v>117</v>
      </c>
      <c r="C78">
        <v>22</v>
      </c>
      <c r="D78" t="s">
        <v>659</v>
      </c>
      <c r="E78" t="s">
        <v>25</v>
      </c>
      <c r="F78" t="s">
        <v>770</v>
      </c>
      <c r="G78">
        <v>5</v>
      </c>
      <c r="H78" t="s">
        <v>17</v>
      </c>
      <c r="I78" s="4">
        <v>45304</v>
      </c>
      <c r="J78" s="4">
        <v>45445</v>
      </c>
      <c r="K78" t="s">
        <v>20</v>
      </c>
      <c r="L78" t="s">
        <v>912</v>
      </c>
      <c r="M78">
        <f>Table1_4[[#This Row],[Last_Purchase_Date]]-Table1_4[[#This Row],[Join_Date]]</f>
        <v>141</v>
      </c>
      <c r="N78">
        <f t="shared" si="2"/>
        <v>0</v>
      </c>
      <c r="O78" t="str" cm="1">
        <f t="array" ref="O78">_xlfn.IFS(C78&gt;50, "51+", C78&gt;35, "36–50", C78&gt;25, "26–35", TRUE, "18–25")</f>
        <v>18–25</v>
      </c>
    </row>
    <row r="79" spans="1:15" x14ac:dyDescent="0.3">
      <c r="A79">
        <v>1067</v>
      </c>
      <c r="B79" t="s">
        <v>163</v>
      </c>
      <c r="C79">
        <v>0</v>
      </c>
      <c r="D79" t="s">
        <v>55</v>
      </c>
      <c r="E79" t="s">
        <v>84</v>
      </c>
      <c r="F79" t="s">
        <v>771</v>
      </c>
      <c r="G79">
        <v>5</v>
      </c>
      <c r="H79" t="s">
        <v>28</v>
      </c>
      <c r="I79" s="4">
        <v>45323</v>
      </c>
      <c r="J79" s="4">
        <v>45379</v>
      </c>
      <c r="K79" t="s">
        <v>20</v>
      </c>
      <c r="L79" t="s">
        <v>913</v>
      </c>
      <c r="M79">
        <f>Table1_4[[#This Row],[Last_Purchase_Date]]-Table1_4[[#This Row],[Join_Date]]</f>
        <v>56</v>
      </c>
      <c r="N79">
        <f t="shared" si="2"/>
        <v>0</v>
      </c>
      <c r="O79" t="str" cm="1">
        <f t="array" ref="O79">_xlfn.IFS(C79&gt;50, "51+", C79&gt;35, "36–50", C79&gt;25, "26–35", TRUE, "18–25")</f>
        <v>18–25</v>
      </c>
    </row>
    <row r="80" spans="1:15" x14ac:dyDescent="0.3">
      <c r="A80">
        <v>1139</v>
      </c>
      <c r="B80" t="s">
        <v>22</v>
      </c>
      <c r="C80">
        <v>22</v>
      </c>
      <c r="D80" t="s">
        <v>659</v>
      </c>
      <c r="E80" t="s">
        <v>84</v>
      </c>
      <c r="F80" t="s">
        <v>772</v>
      </c>
      <c r="G80">
        <v>4</v>
      </c>
      <c r="H80" t="s">
        <v>28</v>
      </c>
      <c r="I80" s="4">
        <v>45570</v>
      </c>
      <c r="J80" s="4">
        <v>45474</v>
      </c>
      <c r="K80" t="s">
        <v>40</v>
      </c>
      <c r="L80" t="s">
        <v>912</v>
      </c>
      <c r="M80">
        <f>Table1_4[[#This Row],[Last_Purchase_Date]]-Table1_4[[#This Row],[Join_Date]]</f>
        <v>-96</v>
      </c>
      <c r="N80">
        <f t="shared" si="2"/>
        <v>1</v>
      </c>
      <c r="O80" t="str" cm="1">
        <f t="array" ref="O80">_xlfn.IFS(C80&gt;50, "51+", C80&gt;35, "36–50", C80&gt;25, "26–35", TRUE, "18–25")</f>
        <v>18–25</v>
      </c>
    </row>
    <row r="81" spans="1:15" x14ac:dyDescent="0.3">
      <c r="A81">
        <v>1149</v>
      </c>
      <c r="B81" t="s">
        <v>136</v>
      </c>
      <c r="C81">
        <v>22</v>
      </c>
      <c r="D81" t="s">
        <v>55</v>
      </c>
      <c r="E81" t="s">
        <v>25</v>
      </c>
      <c r="F81" t="s">
        <v>773</v>
      </c>
      <c r="G81">
        <v>5</v>
      </c>
      <c r="H81" t="s">
        <v>17</v>
      </c>
      <c r="I81" s="4">
        <v>45386</v>
      </c>
      <c r="J81" s="4">
        <v>45337</v>
      </c>
      <c r="K81" t="s">
        <v>69</v>
      </c>
      <c r="L81" t="s">
        <v>910</v>
      </c>
      <c r="M81">
        <f>Table1_4[[#This Row],[Last_Purchase_Date]]-Table1_4[[#This Row],[Join_Date]]</f>
        <v>-49</v>
      </c>
      <c r="N81">
        <f t="shared" si="2"/>
        <v>0</v>
      </c>
      <c r="O81" t="str" cm="1">
        <f t="array" ref="O81">_xlfn.IFS(C81&gt;50, "51+", C81&gt;35, "36–50", C81&gt;25, "26–35", TRUE, "18–25")</f>
        <v>18–25</v>
      </c>
    </row>
    <row r="82" spans="1:15" x14ac:dyDescent="0.3">
      <c r="A82">
        <v>1473</v>
      </c>
      <c r="B82" t="s">
        <v>163</v>
      </c>
      <c r="C82">
        <v>19</v>
      </c>
      <c r="D82" t="s">
        <v>659</v>
      </c>
      <c r="E82" t="s">
        <v>84</v>
      </c>
      <c r="F82" t="s">
        <v>774</v>
      </c>
      <c r="G82">
        <v>0</v>
      </c>
      <c r="H82" t="s">
        <v>908</v>
      </c>
      <c r="I82" s="4">
        <v>45392</v>
      </c>
      <c r="J82" s="4">
        <v>45349</v>
      </c>
      <c r="K82" t="s">
        <v>914</v>
      </c>
      <c r="L82" t="s">
        <v>909</v>
      </c>
      <c r="M82">
        <f>Table1_4[[#This Row],[Last_Purchase_Date]]-Table1_4[[#This Row],[Join_Date]]</f>
        <v>-43</v>
      </c>
      <c r="N82">
        <f t="shared" si="2"/>
        <v>0</v>
      </c>
      <c r="O82" t="str" cm="1">
        <f t="array" ref="O82">_xlfn.IFS(C82&gt;50, "51+", C82&gt;35, "36–50", C82&gt;25, "26–35", TRUE, "18–25")</f>
        <v>18–25</v>
      </c>
    </row>
    <row r="83" spans="1:15" x14ac:dyDescent="0.3">
      <c r="A83">
        <v>1103</v>
      </c>
      <c r="B83" t="s">
        <v>117</v>
      </c>
      <c r="C83">
        <v>23</v>
      </c>
      <c r="D83" t="s">
        <v>24</v>
      </c>
      <c r="E83" t="s">
        <v>156</v>
      </c>
      <c r="F83" t="s">
        <v>775</v>
      </c>
      <c r="G83">
        <v>5</v>
      </c>
      <c r="H83" t="s">
        <v>76</v>
      </c>
      <c r="I83" s="4">
        <v>45413</v>
      </c>
      <c r="J83" s="4">
        <v>45375</v>
      </c>
      <c r="K83" t="s">
        <v>40</v>
      </c>
      <c r="L83" t="s">
        <v>913</v>
      </c>
      <c r="M83">
        <f>Table1_4[[#This Row],[Last_Purchase_Date]]-Table1_4[[#This Row],[Join_Date]]</f>
        <v>-38</v>
      </c>
      <c r="N83">
        <f t="shared" si="2"/>
        <v>1</v>
      </c>
      <c r="O83" t="str" cm="1">
        <f t="array" ref="O83">_xlfn.IFS(C83&gt;50, "51+", C83&gt;35, "36–50", C83&gt;25, "26–35", TRUE, "18–25")</f>
        <v>18–25</v>
      </c>
    </row>
    <row r="84" spans="1:15" x14ac:dyDescent="0.3">
      <c r="A84">
        <v>1489</v>
      </c>
      <c r="B84" t="s">
        <v>107</v>
      </c>
      <c r="C84">
        <v>23</v>
      </c>
      <c r="D84" t="s">
        <v>659</v>
      </c>
      <c r="E84" t="s">
        <v>84</v>
      </c>
      <c r="F84" t="s">
        <v>776</v>
      </c>
      <c r="G84">
        <v>5</v>
      </c>
      <c r="H84" t="s">
        <v>908</v>
      </c>
      <c r="I84" s="4">
        <v>45327</v>
      </c>
      <c r="J84" s="4">
        <v>45539</v>
      </c>
      <c r="K84" t="s">
        <v>914</v>
      </c>
      <c r="L84" t="s">
        <v>912</v>
      </c>
      <c r="M84">
        <f>Table1_4[[#This Row],[Last_Purchase_Date]]-Table1_4[[#This Row],[Join_Date]]</f>
        <v>212</v>
      </c>
      <c r="N84">
        <f t="shared" si="2"/>
        <v>0</v>
      </c>
      <c r="O84" t="str" cm="1">
        <f t="array" ref="O84">_xlfn.IFS(C84&gt;50, "51+", C84&gt;35, "36–50", C84&gt;25, "26–35", TRUE, "18–25")</f>
        <v>18–25</v>
      </c>
    </row>
    <row r="85" spans="1:15" x14ac:dyDescent="0.3">
      <c r="A85">
        <v>1354</v>
      </c>
      <c r="B85" t="s">
        <v>22</v>
      </c>
      <c r="C85">
        <v>19</v>
      </c>
      <c r="D85" t="s">
        <v>24</v>
      </c>
      <c r="E85" t="s">
        <v>156</v>
      </c>
      <c r="F85" t="s">
        <v>777</v>
      </c>
      <c r="G85">
        <v>1</v>
      </c>
      <c r="H85" t="s">
        <v>28</v>
      </c>
      <c r="I85" s="4">
        <v>45316</v>
      </c>
      <c r="J85" s="4">
        <v>45386</v>
      </c>
      <c r="K85" t="s">
        <v>914</v>
      </c>
      <c r="L85" t="s">
        <v>909</v>
      </c>
      <c r="M85">
        <f>Table1_4[[#This Row],[Last_Purchase_Date]]-Table1_4[[#This Row],[Join_Date]]</f>
        <v>70</v>
      </c>
      <c r="N85">
        <f t="shared" si="2"/>
        <v>0</v>
      </c>
      <c r="O85" t="str" cm="1">
        <f t="array" ref="O85">_xlfn.IFS(C85&gt;50, "51+", C85&gt;35, "36–50", C85&gt;25, "26–35", TRUE, "18–25")</f>
        <v>18–25</v>
      </c>
    </row>
    <row r="86" spans="1:15" x14ac:dyDescent="0.3">
      <c r="A86">
        <v>1003</v>
      </c>
      <c r="B86" t="s">
        <v>12</v>
      </c>
      <c r="C86">
        <v>22</v>
      </c>
      <c r="D86" t="s">
        <v>24</v>
      </c>
      <c r="E86" t="s">
        <v>25</v>
      </c>
      <c r="F86" t="s">
        <v>778</v>
      </c>
      <c r="G86">
        <v>1</v>
      </c>
      <c r="H86" t="s">
        <v>908</v>
      </c>
      <c r="I86" s="4">
        <v>45457</v>
      </c>
      <c r="J86" s="4">
        <v>45602</v>
      </c>
      <c r="K86" t="s">
        <v>40</v>
      </c>
      <c r="L86" t="s">
        <v>911</v>
      </c>
      <c r="M86">
        <f>Table1_4[[#This Row],[Last_Purchase_Date]]-Table1_4[[#This Row],[Join_Date]]</f>
        <v>145</v>
      </c>
      <c r="N86">
        <f t="shared" si="2"/>
        <v>1</v>
      </c>
      <c r="O86" t="str" cm="1">
        <f t="array" ref="O86">_xlfn.IFS(C86&gt;50, "51+", C86&gt;35, "36–50", C86&gt;25, "26–35", TRUE, "18–25")</f>
        <v>18–25</v>
      </c>
    </row>
    <row r="87" spans="1:15" x14ac:dyDescent="0.3">
      <c r="A87">
        <v>1259</v>
      </c>
      <c r="B87" t="s">
        <v>47</v>
      </c>
      <c r="C87">
        <v>23</v>
      </c>
      <c r="D87" t="s">
        <v>55</v>
      </c>
      <c r="E87" t="s">
        <v>25</v>
      </c>
      <c r="F87" t="s">
        <v>780</v>
      </c>
      <c r="G87">
        <v>1</v>
      </c>
      <c r="H87" t="s">
        <v>908</v>
      </c>
      <c r="I87" s="4">
        <v>45325</v>
      </c>
      <c r="J87" s="4">
        <v>45296</v>
      </c>
      <c r="K87" t="s">
        <v>20</v>
      </c>
      <c r="L87" t="s">
        <v>909</v>
      </c>
      <c r="M87">
        <f>Table1_4[[#This Row],[Last_Purchase_Date]]-Table1_4[[#This Row],[Join_Date]]</f>
        <v>-29</v>
      </c>
      <c r="N87">
        <f t="shared" si="2"/>
        <v>0</v>
      </c>
      <c r="O87" t="str" cm="1">
        <f t="array" ref="O87">_xlfn.IFS(C87&gt;50, "51+", C87&gt;35, "36–50", C87&gt;25, "26–35", TRUE, "18–25")</f>
        <v>18–25</v>
      </c>
    </row>
    <row r="88" spans="1:15" x14ac:dyDescent="0.3">
      <c r="A88">
        <v>1243</v>
      </c>
      <c r="B88" t="s">
        <v>163</v>
      </c>
      <c r="C88">
        <v>19</v>
      </c>
      <c r="D88" t="s">
        <v>24</v>
      </c>
      <c r="E88" t="s">
        <v>167</v>
      </c>
      <c r="F88" t="s">
        <v>781</v>
      </c>
      <c r="G88">
        <v>1</v>
      </c>
      <c r="H88" t="s">
        <v>28</v>
      </c>
      <c r="I88" s="4">
        <v>45315</v>
      </c>
      <c r="J88" s="4">
        <v>45336</v>
      </c>
      <c r="K88" t="s">
        <v>69</v>
      </c>
      <c r="L88" t="s">
        <v>912</v>
      </c>
      <c r="M88">
        <f>Table1_4[[#This Row],[Last_Purchase_Date]]-Table1_4[[#This Row],[Join_Date]]</f>
        <v>21</v>
      </c>
      <c r="N88">
        <f t="shared" si="2"/>
        <v>0</v>
      </c>
      <c r="O88" t="str" cm="1">
        <f t="array" ref="O88">_xlfn.IFS(C88&gt;50, "51+", C88&gt;35, "36–50", C88&gt;25, "26–35", TRUE, "18–25")</f>
        <v>18–25</v>
      </c>
    </row>
    <row r="89" spans="1:15" x14ac:dyDescent="0.3">
      <c r="A89">
        <v>1222</v>
      </c>
      <c r="B89" t="s">
        <v>47</v>
      </c>
      <c r="C89">
        <v>18</v>
      </c>
      <c r="D89" t="s">
        <v>55</v>
      </c>
      <c r="E89" t="s">
        <v>167</v>
      </c>
      <c r="F89" t="s">
        <v>782</v>
      </c>
      <c r="G89">
        <v>2</v>
      </c>
      <c r="H89" t="s">
        <v>908</v>
      </c>
      <c r="I89" s="4">
        <v>45417</v>
      </c>
      <c r="J89" s="4">
        <v>45376</v>
      </c>
      <c r="K89" t="s">
        <v>20</v>
      </c>
      <c r="L89" t="s">
        <v>912</v>
      </c>
      <c r="M89">
        <f>Table1_4[[#This Row],[Last_Purchase_Date]]-Table1_4[[#This Row],[Join_Date]]</f>
        <v>-41</v>
      </c>
      <c r="N89">
        <f t="shared" si="2"/>
        <v>0</v>
      </c>
      <c r="O89" t="str" cm="1">
        <f t="array" ref="O89">_xlfn.IFS(C89&gt;50, "51+", C89&gt;35, "36–50", C89&gt;25, "26–35", TRUE, "18–25")</f>
        <v>18–25</v>
      </c>
    </row>
    <row r="90" spans="1:15" x14ac:dyDescent="0.3">
      <c r="A90">
        <v>1262</v>
      </c>
      <c r="B90" t="s">
        <v>74</v>
      </c>
      <c r="C90">
        <v>24</v>
      </c>
      <c r="D90" t="s">
        <v>659</v>
      </c>
      <c r="E90" t="s">
        <v>25</v>
      </c>
      <c r="F90" t="s">
        <v>783</v>
      </c>
      <c r="G90">
        <v>5</v>
      </c>
      <c r="H90" t="s">
        <v>908</v>
      </c>
      <c r="I90" s="4">
        <v>45462</v>
      </c>
      <c r="J90" s="4">
        <v>45347</v>
      </c>
      <c r="K90" t="s">
        <v>69</v>
      </c>
      <c r="L90" t="s">
        <v>909</v>
      </c>
      <c r="M90">
        <f>Table1_4[[#This Row],[Last_Purchase_Date]]-Table1_4[[#This Row],[Join_Date]]</f>
        <v>-115</v>
      </c>
      <c r="N90">
        <f t="shared" si="2"/>
        <v>0</v>
      </c>
      <c r="O90" t="str" cm="1">
        <f t="array" ref="O90">_xlfn.IFS(C90&gt;50, "51+", C90&gt;35, "36–50", C90&gt;25, "26–35", TRUE, "18–25")</f>
        <v>18–25</v>
      </c>
    </row>
    <row r="91" spans="1:15" x14ac:dyDescent="0.3">
      <c r="A91">
        <v>1265</v>
      </c>
      <c r="B91" t="s">
        <v>74</v>
      </c>
      <c r="C91">
        <v>18</v>
      </c>
      <c r="D91" t="s">
        <v>55</v>
      </c>
      <c r="E91" t="s">
        <v>84</v>
      </c>
      <c r="F91" t="s">
        <v>784</v>
      </c>
      <c r="G91">
        <v>1</v>
      </c>
      <c r="H91" t="s">
        <v>908</v>
      </c>
      <c r="I91" s="4">
        <v>45360</v>
      </c>
      <c r="J91" s="4">
        <v>45447</v>
      </c>
      <c r="K91" t="s">
        <v>69</v>
      </c>
      <c r="L91" t="s">
        <v>913</v>
      </c>
      <c r="M91">
        <f>Table1_4[[#This Row],[Last_Purchase_Date]]-Table1_4[[#This Row],[Join_Date]]</f>
        <v>87</v>
      </c>
      <c r="N91">
        <f t="shared" si="2"/>
        <v>0</v>
      </c>
      <c r="O91" t="str" cm="1">
        <f t="array" ref="O91">_xlfn.IFS(C91&gt;50, "51+", C91&gt;35, "36–50", C91&gt;25, "26–35", TRUE, "18–25")</f>
        <v>18–25</v>
      </c>
    </row>
    <row r="92" spans="1:15" x14ac:dyDescent="0.3">
      <c r="A92">
        <v>1014</v>
      </c>
      <c r="B92" t="s">
        <v>107</v>
      </c>
      <c r="C92">
        <v>22</v>
      </c>
      <c r="D92" t="s">
        <v>659</v>
      </c>
      <c r="E92" t="s">
        <v>25</v>
      </c>
      <c r="F92" t="s">
        <v>786</v>
      </c>
      <c r="G92">
        <v>2</v>
      </c>
      <c r="H92" t="s">
        <v>17</v>
      </c>
      <c r="I92" s="4">
        <v>45430</v>
      </c>
      <c r="J92" s="4">
        <v>45315</v>
      </c>
      <c r="K92" t="s">
        <v>40</v>
      </c>
      <c r="L92" t="s">
        <v>913</v>
      </c>
      <c r="M92">
        <f>Table1_4[[#This Row],[Last_Purchase_Date]]-Table1_4[[#This Row],[Join_Date]]</f>
        <v>-115</v>
      </c>
      <c r="N92">
        <f t="shared" si="2"/>
        <v>1</v>
      </c>
      <c r="O92" t="str" cm="1">
        <f t="array" ref="O92">_xlfn.IFS(C92&gt;50, "51+", C92&gt;35, "36–50", C92&gt;25, "26–35", TRUE, "18–25")</f>
        <v>18–25</v>
      </c>
    </row>
    <row r="93" spans="1:15" x14ac:dyDescent="0.3">
      <c r="A93">
        <v>1486</v>
      </c>
      <c r="B93" t="s">
        <v>47</v>
      </c>
      <c r="C93">
        <v>24</v>
      </c>
      <c r="D93" t="s">
        <v>55</v>
      </c>
      <c r="E93" t="s">
        <v>84</v>
      </c>
      <c r="F93" t="s">
        <v>787</v>
      </c>
      <c r="G93">
        <v>3</v>
      </c>
      <c r="H93" t="s">
        <v>17</v>
      </c>
      <c r="I93" s="4">
        <v>45352</v>
      </c>
      <c r="J93" s="4">
        <v>45295</v>
      </c>
      <c r="K93" t="s">
        <v>914</v>
      </c>
      <c r="L93" t="s">
        <v>910</v>
      </c>
      <c r="M93">
        <f>Table1_4[[#This Row],[Last_Purchase_Date]]-Table1_4[[#This Row],[Join_Date]]</f>
        <v>-57</v>
      </c>
      <c r="N93">
        <f t="shared" si="2"/>
        <v>0</v>
      </c>
      <c r="O93" t="str" cm="1">
        <f t="array" ref="O93">_xlfn.IFS(C93&gt;50, "51+", C93&gt;35, "36–50", C93&gt;25, "26–35", TRUE, "18–25")</f>
        <v>18–25</v>
      </c>
    </row>
    <row r="94" spans="1:15" x14ac:dyDescent="0.3">
      <c r="A94">
        <v>1467</v>
      </c>
      <c r="B94" t="s">
        <v>117</v>
      </c>
      <c r="C94">
        <v>0</v>
      </c>
      <c r="D94" t="s">
        <v>659</v>
      </c>
      <c r="E94" t="s">
        <v>84</v>
      </c>
      <c r="F94" t="s">
        <v>788</v>
      </c>
      <c r="G94">
        <v>4</v>
      </c>
      <c r="H94" t="s">
        <v>28</v>
      </c>
      <c r="I94" s="4">
        <v>45444</v>
      </c>
      <c r="J94" s="4">
        <v>45456</v>
      </c>
      <c r="K94" t="s">
        <v>914</v>
      </c>
      <c r="L94" t="s">
        <v>912</v>
      </c>
      <c r="M94">
        <f>Table1_4[[#This Row],[Last_Purchase_Date]]-Table1_4[[#This Row],[Join_Date]]</f>
        <v>12</v>
      </c>
      <c r="N94">
        <f t="shared" si="2"/>
        <v>0</v>
      </c>
      <c r="O94" t="str" cm="1">
        <f t="array" ref="O94">_xlfn.IFS(C94&gt;50, "51+", C94&gt;35, "36–50", C94&gt;25, "26–35", TRUE, "18–25")</f>
        <v>18–25</v>
      </c>
    </row>
    <row r="95" spans="1:15" x14ac:dyDescent="0.3">
      <c r="A95">
        <v>1438</v>
      </c>
      <c r="B95" t="s">
        <v>107</v>
      </c>
      <c r="C95">
        <v>21</v>
      </c>
      <c r="D95" t="s">
        <v>24</v>
      </c>
      <c r="E95" t="s">
        <v>84</v>
      </c>
      <c r="F95" t="s">
        <v>792</v>
      </c>
      <c r="G95">
        <v>5</v>
      </c>
      <c r="H95" t="s">
        <v>908</v>
      </c>
      <c r="I95" s="4">
        <v>45386</v>
      </c>
      <c r="J95" s="4">
        <v>45395</v>
      </c>
      <c r="K95" t="s">
        <v>20</v>
      </c>
      <c r="L95" t="s">
        <v>912</v>
      </c>
      <c r="M95">
        <f>Table1_4[[#This Row],[Last_Purchase_Date]]-Table1_4[[#This Row],[Join_Date]]</f>
        <v>9</v>
      </c>
      <c r="N95">
        <f t="shared" si="2"/>
        <v>0</v>
      </c>
      <c r="O95" t="str" cm="1">
        <f t="array" ref="O95">_xlfn.IFS(C95&gt;50, "51+", C95&gt;35, "36–50", C95&gt;25, "26–35", TRUE, "18–25")</f>
        <v>18–25</v>
      </c>
    </row>
    <row r="96" spans="1:15" x14ac:dyDescent="0.3">
      <c r="A96">
        <v>1027</v>
      </c>
      <c r="B96" t="s">
        <v>22</v>
      </c>
      <c r="C96">
        <v>22</v>
      </c>
      <c r="D96" t="s">
        <v>659</v>
      </c>
      <c r="E96" t="s">
        <v>25</v>
      </c>
      <c r="F96" t="s">
        <v>793</v>
      </c>
      <c r="G96">
        <v>4</v>
      </c>
      <c r="H96" t="s">
        <v>908</v>
      </c>
      <c r="I96" s="4">
        <v>45348</v>
      </c>
      <c r="J96" s="4">
        <v>45339</v>
      </c>
      <c r="K96" t="s">
        <v>914</v>
      </c>
      <c r="L96" t="s">
        <v>909</v>
      </c>
      <c r="M96">
        <f>Table1_4[[#This Row],[Last_Purchase_Date]]-Table1_4[[#This Row],[Join_Date]]</f>
        <v>-9</v>
      </c>
      <c r="N96">
        <f t="shared" si="2"/>
        <v>0</v>
      </c>
      <c r="O96" t="str" cm="1">
        <f t="array" ref="O96">_xlfn.IFS(C96&gt;50, "51+", C96&gt;35, "36–50", C96&gt;25, "26–35", TRUE, "18–25")</f>
        <v>18–25</v>
      </c>
    </row>
    <row r="97" spans="1:15" x14ac:dyDescent="0.3">
      <c r="A97">
        <v>1366</v>
      </c>
      <c r="B97" t="s">
        <v>163</v>
      </c>
      <c r="C97">
        <v>20</v>
      </c>
      <c r="D97" t="s">
        <v>659</v>
      </c>
      <c r="E97" t="s">
        <v>84</v>
      </c>
      <c r="F97" t="s">
        <v>797</v>
      </c>
      <c r="G97">
        <v>0</v>
      </c>
      <c r="H97" t="s">
        <v>17</v>
      </c>
      <c r="I97" s="4">
        <v>45327</v>
      </c>
      <c r="J97" s="4">
        <v>45448</v>
      </c>
      <c r="K97" t="s">
        <v>20</v>
      </c>
      <c r="L97" t="s">
        <v>910</v>
      </c>
      <c r="M97">
        <f>Table1_4[[#This Row],[Last_Purchase_Date]]-Table1_4[[#This Row],[Join_Date]]</f>
        <v>121</v>
      </c>
      <c r="N97">
        <f t="shared" si="2"/>
        <v>0</v>
      </c>
      <c r="O97" t="str" cm="1">
        <f t="array" ref="O97">_xlfn.IFS(C97&gt;50, "51+", C97&gt;35, "36–50", C97&gt;25, "26–35", TRUE, "18–25")</f>
        <v>18–25</v>
      </c>
    </row>
    <row r="98" spans="1:15" x14ac:dyDescent="0.3">
      <c r="A98">
        <v>1330</v>
      </c>
      <c r="B98" t="s">
        <v>107</v>
      </c>
      <c r="C98">
        <v>23</v>
      </c>
      <c r="D98" t="s">
        <v>55</v>
      </c>
      <c r="E98" t="s">
        <v>167</v>
      </c>
      <c r="F98" t="s">
        <v>798</v>
      </c>
      <c r="G98">
        <v>0</v>
      </c>
      <c r="H98" t="s">
        <v>908</v>
      </c>
      <c r="I98" s="4">
        <v>45432</v>
      </c>
      <c r="J98" s="4">
        <v>45324</v>
      </c>
      <c r="K98" t="s">
        <v>914</v>
      </c>
      <c r="L98" t="s">
        <v>911</v>
      </c>
      <c r="M98">
        <f>Table1_4[[#This Row],[Last_Purchase_Date]]-Table1_4[[#This Row],[Join_Date]]</f>
        <v>-108</v>
      </c>
      <c r="N98">
        <f t="shared" ref="N98:N129" si="3">IF(K98="Active",1,0)</f>
        <v>0</v>
      </c>
      <c r="O98" t="str" cm="1">
        <f t="array" ref="O98">_xlfn.IFS(C98&gt;50, "51+", C98&gt;35, "36–50", C98&gt;25, "26–35", TRUE, "18–25")</f>
        <v>18–25</v>
      </c>
    </row>
    <row r="99" spans="1:15" x14ac:dyDescent="0.3">
      <c r="A99">
        <v>1116</v>
      </c>
      <c r="B99" t="s">
        <v>12</v>
      </c>
      <c r="C99">
        <v>22</v>
      </c>
      <c r="D99" t="s">
        <v>55</v>
      </c>
      <c r="E99" t="s">
        <v>25</v>
      </c>
      <c r="F99" t="s">
        <v>800</v>
      </c>
      <c r="G99">
        <v>5</v>
      </c>
      <c r="H99" t="s">
        <v>17</v>
      </c>
      <c r="I99" s="4">
        <v>45433</v>
      </c>
      <c r="J99" s="4">
        <v>45407</v>
      </c>
      <c r="K99" t="s">
        <v>914</v>
      </c>
      <c r="L99" t="s">
        <v>911</v>
      </c>
      <c r="M99">
        <f>Table1_4[[#This Row],[Last_Purchase_Date]]-Table1_4[[#This Row],[Join_Date]]</f>
        <v>-26</v>
      </c>
      <c r="N99">
        <f t="shared" si="3"/>
        <v>0</v>
      </c>
      <c r="O99" t="str" cm="1">
        <f t="array" ref="O99">_xlfn.IFS(C99&gt;50, "51+", C99&gt;35, "36–50", C99&gt;25, "26–35", TRUE, "18–25")</f>
        <v>18–25</v>
      </c>
    </row>
    <row r="100" spans="1:15" x14ac:dyDescent="0.3">
      <c r="A100">
        <v>1303</v>
      </c>
      <c r="B100" t="s">
        <v>120</v>
      </c>
      <c r="C100">
        <v>20</v>
      </c>
      <c r="D100" t="s">
        <v>55</v>
      </c>
      <c r="E100" t="s">
        <v>167</v>
      </c>
      <c r="F100" t="s">
        <v>803</v>
      </c>
      <c r="G100">
        <v>1</v>
      </c>
      <c r="H100" t="s">
        <v>17</v>
      </c>
      <c r="I100" s="4">
        <v>45450</v>
      </c>
      <c r="J100" s="4">
        <v>45459</v>
      </c>
      <c r="K100" t="s">
        <v>914</v>
      </c>
      <c r="L100" t="s">
        <v>910</v>
      </c>
      <c r="M100">
        <f>Table1_4[[#This Row],[Last_Purchase_Date]]-Table1_4[[#This Row],[Join_Date]]</f>
        <v>9</v>
      </c>
      <c r="N100">
        <f t="shared" si="3"/>
        <v>0</v>
      </c>
      <c r="O100" t="str" cm="1">
        <f t="array" ref="O100">_xlfn.IFS(C100&gt;50, "51+", C100&gt;35, "36–50", C100&gt;25, "26–35", TRUE, "18–25")</f>
        <v>18–25</v>
      </c>
    </row>
    <row r="101" spans="1:15" x14ac:dyDescent="0.3">
      <c r="A101">
        <v>1493</v>
      </c>
      <c r="B101" t="s">
        <v>74</v>
      </c>
      <c r="C101">
        <v>0</v>
      </c>
      <c r="D101" t="s">
        <v>659</v>
      </c>
      <c r="E101" t="s">
        <v>25</v>
      </c>
      <c r="F101" t="s">
        <v>804</v>
      </c>
      <c r="G101">
        <v>4</v>
      </c>
      <c r="H101" t="s">
        <v>908</v>
      </c>
      <c r="I101" s="4">
        <v>45336</v>
      </c>
      <c r="J101" s="4">
        <v>45305</v>
      </c>
      <c r="K101" t="s">
        <v>40</v>
      </c>
      <c r="L101" t="s">
        <v>913</v>
      </c>
      <c r="M101">
        <f>Table1_4[[#This Row],[Last_Purchase_Date]]-Table1_4[[#This Row],[Join_Date]]</f>
        <v>-31</v>
      </c>
      <c r="N101">
        <f t="shared" si="3"/>
        <v>1</v>
      </c>
      <c r="O101" t="str" cm="1">
        <f t="array" ref="O101">_xlfn.IFS(C101&gt;50, "51+", C101&gt;35, "36–50", C101&gt;25, "26–35", TRUE, "18–25")</f>
        <v>18–25</v>
      </c>
    </row>
    <row r="102" spans="1:15" x14ac:dyDescent="0.3">
      <c r="A102">
        <v>1016</v>
      </c>
      <c r="B102" t="s">
        <v>120</v>
      </c>
      <c r="C102">
        <v>22</v>
      </c>
      <c r="D102" t="s">
        <v>24</v>
      </c>
      <c r="E102" t="s">
        <v>84</v>
      </c>
      <c r="F102" t="s">
        <v>805</v>
      </c>
      <c r="G102">
        <v>5</v>
      </c>
      <c r="H102" t="s">
        <v>28</v>
      </c>
      <c r="I102" s="4">
        <v>45628</v>
      </c>
      <c r="J102" s="4">
        <v>45315</v>
      </c>
      <c r="K102" t="s">
        <v>40</v>
      </c>
      <c r="L102" t="s">
        <v>910</v>
      </c>
      <c r="M102">
        <f>Table1_4[[#This Row],[Last_Purchase_Date]]-Table1_4[[#This Row],[Join_Date]]</f>
        <v>-313</v>
      </c>
      <c r="N102">
        <f t="shared" si="3"/>
        <v>1</v>
      </c>
      <c r="O102" t="str" cm="1">
        <f t="array" ref="O102">_xlfn.IFS(C102&gt;50, "51+", C102&gt;35, "36–50", C102&gt;25, "26–35", TRUE, "18–25")</f>
        <v>18–25</v>
      </c>
    </row>
    <row r="103" spans="1:15" x14ac:dyDescent="0.3">
      <c r="A103">
        <v>1133</v>
      </c>
      <c r="B103" t="s">
        <v>12</v>
      </c>
      <c r="C103">
        <v>19</v>
      </c>
      <c r="D103" t="s">
        <v>55</v>
      </c>
      <c r="E103" t="s">
        <v>156</v>
      </c>
      <c r="F103" t="s">
        <v>806</v>
      </c>
      <c r="G103">
        <v>1</v>
      </c>
      <c r="H103" t="s">
        <v>17</v>
      </c>
      <c r="I103" s="4">
        <v>45365</v>
      </c>
      <c r="J103" s="4">
        <v>45317</v>
      </c>
      <c r="K103" t="s">
        <v>914</v>
      </c>
      <c r="L103" t="s">
        <v>909</v>
      </c>
      <c r="M103">
        <f>Table1_4[[#This Row],[Last_Purchase_Date]]-Table1_4[[#This Row],[Join_Date]]</f>
        <v>-48</v>
      </c>
      <c r="N103">
        <f t="shared" si="3"/>
        <v>0</v>
      </c>
      <c r="O103" t="str" cm="1">
        <f t="array" ref="O103">_xlfn.IFS(C103&gt;50, "51+", C103&gt;35, "36–50", C103&gt;25, "26–35", TRUE, "18–25")</f>
        <v>18–25</v>
      </c>
    </row>
    <row r="104" spans="1:15" x14ac:dyDescent="0.3">
      <c r="A104">
        <v>1360</v>
      </c>
      <c r="B104" t="s">
        <v>47</v>
      </c>
      <c r="C104">
        <v>18</v>
      </c>
      <c r="D104" t="s">
        <v>55</v>
      </c>
      <c r="E104" t="s">
        <v>167</v>
      </c>
      <c r="F104" t="s">
        <v>807</v>
      </c>
      <c r="G104">
        <v>1</v>
      </c>
      <c r="H104" t="s">
        <v>908</v>
      </c>
      <c r="I104" s="4">
        <v>45311</v>
      </c>
      <c r="J104" s="4">
        <v>45374</v>
      </c>
      <c r="K104" t="s">
        <v>40</v>
      </c>
      <c r="L104" t="s">
        <v>912</v>
      </c>
      <c r="M104">
        <f>Table1_4[[#This Row],[Last_Purchase_Date]]-Table1_4[[#This Row],[Join_Date]]</f>
        <v>63</v>
      </c>
      <c r="N104">
        <f t="shared" si="3"/>
        <v>1</v>
      </c>
      <c r="O104" t="str" cm="1">
        <f t="array" ref="O104">_xlfn.IFS(C104&gt;50, "51+", C104&gt;35, "36–50", C104&gt;25, "26–35", TRUE, "18–25")</f>
        <v>18–25</v>
      </c>
    </row>
    <row r="105" spans="1:15" x14ac:dyDescent="0.3">
      <c r="A105">
        <v>1409</v>
      </c>
      <c r="B105" t="s">
        <v>163</v>
      </c>
      <c r="C105">
        <v>23</v>
      </c>
      <c r="D105" t="s">
        <v>659</v>
      </c>
      <c r="E105" t="s">
        <v>25</v>
      </c>
      <c r="F105" t="s">
        <v>814</v>
      </c>
      <c r="G105">
        <v>1</v>
      </c>
      <c r="H105" t="s">
        <v>28</v>
      </c>
      <c r="I105" s="4">
        <v>45466</v>
      </c>
      <c r="J105" s="4">
        <v>45477</v>
      </c>
      <c r="K105" t="s">
        <v>69</v>
      </c>
      <c r="L105" t="s">
        <v>911</v>
      </c>
      <c r="M105">
        <f>Table1_4[[#This Row],[Last_Purchase_Date]]-Table1_4[[#This Row],[Join_Date]]</f>
        <v>11</v>
      </c>
      <c r="N105">
        <f t="shared" si="3"/>
        <v>0</v>
      </c>
      <c r="O105" t="str" cm="1">
        <f t="array" ref="O105">_xlfn.IFS(C105&gt;50, "51+", C105&gt;35, "36–50", C105&gt;25, "26–35", TRUE, "18–25")</f>
        <v>18–25</v>
      </c>
    </row>
    <row r="106" spans="1:15" x14ac:dyDescent="0.3">
      <c r="A106">
        <v>1433</v>
      </c>
      <c r="B106" t="s">
        <v>120</v>
      </c>
      <c r="C106">
        <v>18</v>
      </c>
      <c r="D106" t="s">
        <v>55</v>
      </c>
      <c r="E106" t="s">
        <v>156</v>
      </c>
      <c r="F106" t="s">
        <v>816</v>
      </c>
      <c r="G106">
        <v>1</v>
      </c>
      <c r="H106" t="s">
        <v>17</v>
      </c>
      <c r="I106" s="4">
        <v>45405</v>
      </c>
      <c r="J106" s="4">
        <v>45414</v>
      </c>
      <c r="K106" t="s">
        <v>40</v>
      </c>
      <c r="L106" t="s">
        <v>913</v>
      </c>
      <c r="M106">
        <f>Table1_4[[#This Row],[Last_Purchase_Date]]-Table1_4[[#This Row],[Join_Date]]</f>
        <v>9</v>
      </c>
      <c r="N106">
        <f t="shared" si="3"/>
        <v>1</v>
      </c>
      <c r="O106" t="str" cm="1">
        <f t="array" ref="O106">_xlfn.IFS(C106&gt;50, "51+", C106&gt;35, "36–50", C106&gt;25, "26–35", TRUE, "18–25")</f>
        <v>18–25</v>
      </c>
    </row>
    <row r="107" spans="1:15" x14ac:dyDescent="0.3">
      <c r="A107">
        <v>1256</v>
      </c>
      <c r="B107" t="s">
        <v>155</v>
      </c>
      <c r="C107">
        <v>22</v>
      </c>
      <c r="D107" t="s">
        <v>659</v>
      </c>
      <c r="E107" t="s">
        <v>156</v>
      </c>
      <c r="F107" t="s">
        <v>817</v>
      </c>
      <c r="G107">
        <v>1</v>
      </c>
      <c r="H107" t="s">
        <v>17</v>
      </c>
      <c r="I107" s="4">
        <v>45389</v>
      </c>
      <c r="J107" s="4">
        <v>45536</v>
      </c>
      <c r="K107" t="s">
        <v>40</v>
      </c>
      <c r="L107" t="s">
        <v>910</v>
      </c>
      <c r="M107">
        <f>Table1_4[[#This Row],[Last_Purchase_Date]]-Table1_4[[#This Row],[Join_Date]]</f>
        <v>147</v>
      </c>
      <c r="N107">
        <f t="shared" si="3"/>
        <v>1</v>
      </c>
      <c r="O107" t="str" cm="1">
        <f t="array" ref="O107">_xlfn.IFS(C107&gt;50, "51+", C107&gt;35, "36–50", C107&gt;25, "26–35", TRUE, "18–25")</f>
        <v>18–25</v>
      </c>
    </row>
    <row r="108" spans="1:15" x14ac:dyDescent="0.3">
      <c r="A108">
        <v>1419</v>
      </c>
      <c r="B108" t="s">
        <v>117</v>
      </c>
      <c r="C108">
        <v>0</v>
      </c>
      <c r="D108" t="s">
        <v>55</v>
      </c>
      <c r="E108" t="s">
        <v>84</v>
      </c>
      <c r="F108" t="s">
        <v>818</v>
      </c>
      <c r="G108">
        <v>2</v>
      </c>
      <c r="H108" t="s">
        <v>17</v>
      </c>
      <c r="I108" s="4">
        <v>45457</v>
      </c>
      <c r="J108" s="4">
        <v>45401</v>
      </c>
      <c r="K108" t="s">
        <v>20</v>
      </c>
      <c r="L108" t="s">
        <v>913</v>
      </c>
      <c r="M108">
        <f>Table1_4[[#This Row],[Last_Purchase_Date]]-Table1_4[[#This Row],[Join_Date]]</f>
        <v>-56</v>
      </c>
      <c r="N108">
        <f t="shared" si="3"/>
        <v>0</v>
      </c>
      <c r="O108" t="str" cm="1">
        <f t="array" ref="O108">_xlfn.IFS(C108&gt;50, "51+", C108&gt;35, "36–50", C108&gt;25, "26–35", TRUE, "18–25")</f>
        <v>18–25</v>
      </c>
    </row>
    <row r="109" spans="1:15" x14ac:dyDescent="0.3">
      <c r="A109">
        <v>1413</v>
      </c>
      <c r="B109" t="s">
        <v>107</v>
      </c>
      <c r="C109">
        <v>22</v>
      </c>
      <c r="D109" t="s">
        <v>55</v>
      </c>
      <c r="E109" t="s">
        <v>84</v>
      </c>
      <c r="F109" t="s">
        <v>819</v>
      </c>
      <c r="G109">
        <v>4</v>
      </c>
      <c r="H109" t="s">
        <v>17</v>
      </c>
      <c r="I109" s="4">
        <v>45355</v>
      </c>
      <c r="J109" s="4">
        <v>45368</v>
      </c>
      <c r="K109" t="s">
        <v>40</v>
      </c>
      <c r="L109" t="s">
        <v>910</v>
      </c>
      <c r="M109">
        <f>Table1_4[[#This Row],[Last_Purchase_Date]]-Table1_4[[#This Row],[Join_Date]]</f>
        <v>13</v>
      </c>
      <c r="N109">
        <f t="shared" si="3"/>
        <v>1</v>
      </c>
      <c r="O109" t="str" cm="1">
        <f t="array" ref="O109">_xlfn.IFS(C109&gt;50, "51+", C109&gt;35, "36–50", C109&gt;25, "26–35", TRUE, "18–25")</f>
        <v>18–25</v>
      </c>
    </row>
    <row r="110" spans="1:15" x14ac:dyDescent="0.3">
      <c r="A110">
        <v>1385</v>
      </c>
      <c r="B110" t="s">
        <v>22</v>
      </c>
      <c r="C110">
        <v>18</v>
      </c>
      <c r="D110" t="s">
        <v>55</v>
      </c>
      <c r="E110" t="s">
        <v>84</v>
      </c>
      <c r="F110" t="s">
        <v>820</v>
      </c>
      <c r="G110">
        <v>4</v>
      </c>
      <c r="H110" t="s">
        <v>17</v>
      </c>
      <c r="I110" s="4">
        <v>45311</v>
      </c>
      <c r="J110" s="4">
        <v>45309</v>
      </c>
      <c r="K110" t="s">
        <v>40</v>
      </c>
      <c r="L110" t="s">
        <v>909</v>
      </c>
      <c r="M110">
        <f>Table1_4[[#This Row],[Last_Purchase_Date]]-Table1_4[[#This Row],[Join_Date]]</f>
        <v>-2</v>
      </c>
      <c r="N110">
        <f t="shared" si="3"/>
        <v>1</v>
      </c>
      <c r="O110" t="str" cm="1">
        <f t="array" ref="O110">_xlfn.IFS(C110&gt;50, "51+", C110&gt;35, "36–50", C110&gt;25, "26–35", TRUE, "18–25")</f>
        <v>18–25</v>
      </c>
    </row>
    <row r="111" spans="1:15" x14ac:dyDescent="0.3">
      <c r="A111">
        <v>1467</v>
      </c>
      <c r="B111" t="s">
        <v>163</v>
      </c>
      <c r="C111">
        <v>0</v>
      </c>
      <c r="D111" t="s">
        <v>55</v>
      </c>
      <c r="E111" t="s">
        <v>167</v>
      </c>
      <c r="F111" t="s">
        <v>821</v>
      </c>
      <c r="G111">
        <v>5</v>
      </c>
      <c r="H111" t="s">
        <v>17</v>
      </c>
      <c r="I111" s="4">
        <v>45338</v>
      </c>
      <c r="J111" s="4">
        <v>45566</v>
      </c>
      <c r="K111" t="s">
        <v>914</v>
      </c>
      <c r="L111" t="s">
        <v>909</v>
      </c>
      <c r="M111">
        <f>Table1_4[[#This Row],[Last_Purchase_Date]]-Table1_4[[#This Row],[Join_Date]]</f>
        <v>228</v>
      </c>
      <c r="N111">
        <f t="shared" si="3"/>
        <v>0</v>
      </c>
      <c r="O111" t="str" cm="1">
        <f t="array" ref="O111">_xlfn.IFS(C111&gt;50, "51+", C111&gt;35, "36–50", C111&gt;25, "26–35", TRUE, "18–25")</f>
        <v>18–25</v>
      </c>
    </row>
    <row r="112" spans="1:15" x14ac:dyDescent="0.3">
      <c r="A112">
        <v>1324</v>
      </c>
      <c r="B112" t="s">
        <v>107</v>
      </c>
      <c r="C112">
        <v>19</v>
      </c>
      <c r="D112" t="s">
        <v>659</v>
      </c>
      <c r="E112" t="s">
        <v>25</v>
      </c>
      <c r="F112" t="s">
        <v>822</v>
      </c>
      <c r="G112">
        <v>1</v>
      </c>
      <c r="H112" t="s">
        <v>28</v>
      </c>
      <c r="I112" s="4">
        <v>45461</v>
      </c>
      <c r="J112" s="4">
        <v>45328</v>
      </c>
      <c r="K112" t="s">
        <v>40</v>
      </c>
      <c r="L112" t="s">
        <v>911</v>
      </c>
      <c r="M112">
        <f>Table1_4[[#This Row],[Last_Purchase_Date]]-Table1_4[[#This Row],[Join_Date]]</f>
        <v>-133</v>
      </c>
      <c r="N112">
        <f t="shared" si="3"/>
        <v>1</v>
      </c>
      <c r="O112" t="str" cm="1">
        <f t="array" ref="O112">_xlfn.IFS(C112&gt;50, "51+", C112&gt;35, "36–50", C112&gt;25, "26–35", TRUE, "18–25")</f>
        <v>18–25</v>
      </c>
    </row>
    <row r="113" spans="1:15" x14ac:dyDescent="0.3">
      <c r="A113">
        <v>1391</v>
      </c>
      <c r="B113" t="s">
        <v>12</v>
      </c>
      <c r="C113">
        <v>23</v>
      </c>
      <c r="D113" t="s">
        <v>24</v>
      </c>
      <c r="E113" t="s">
        <v>25</v>
      </c>
      <c r="F113" t="s">
        <v>824</v>
      </c>
      <c r="G113">
        <v>1</v>
      </c>
      <c r="H113" t="s">
        <v>28</v>
      </c>
      <c r="I113" s="4">
        <v>45407</v>
      </c>
      <c r="J113" s="4">
        <v>45295</v>
      </c>
      <c r="K113" t="s">
        <v>40</v>
      </c>
      <c r="L113" t="s">
        <v>913</v>
      </c>
      <c r="M113">
        <f>Table1_4[[#This Row],[Last_Purchase_Date]]-Table1_4[[#This Row],[Join_Date]]</f>
        <v>-112</v>
      </c>
      <c r="N113">
        <f t="shared" si="3"/>
        <v>1</v>
      </c>
      <c r="O113" t="str" cm="1">
        <f t="array" ref="O113">_xlfn.IFS(C113&gt;50, "51+", C113&gt;35, "36–50", C113&gt;25, "26–35", TRUE, "18–25")</f>
        <v>18–25</v>
      </c>
    </row>
    <row r="114" spans="1:15" x14ac:dyDescent="0.3">
      <c r="A114">
        <v>1486</v>
      </c>
      <c r="B114" t="s">
        <v>136</v>
      </c>
      <c r="C114">
        <v>24</v>
      </c>
      <c r="D114" t="s">
        <v>55</v>
      </c>
      <c r="E114" t="s">
        <v>25</v>
      </c>
      <c r="F114" t="s">
        <v>826</v>
      </c>
      <c r="G114">
        <v>4</v>
      </c>
      <c r="H114" t="s">
        <v>28</v>
      </c>
      <c r="I114" s="4">
        <v>45425</v>
      </c>
      <c r="J114" s="4">
        <v>45597</v>
      </c>
      <c r="K114" t="s">
        <v>40</v>
      </c>
      <c r="L114" t="s">
        <v>909</v>
      </c>
      <c r="M114">
        <f>Table1_4[[#This Row],[Last_Purchase_Date]]-Table1_4[[#This Row],[Join_Date]]</f>
        <v>172</v>
      </c>
      <c r="N114">
        <f t="shared" si="3"/>
        <v>1</v>
      </c>
      <c r="O114" t="str" cm="1">
        <f t="array" ref="O114">_xlfn.IFS(C114&gt;50, "51+", C114&gt;35, "36–50", C114&gt;25, "26–35", TRUE, "18–25")</f>
        <v>18–25</v>
      </c>
    </row>
    <row r="115" spans="1:15" x14ac:dyDescent="0.3">
      <c r="A115">
        <v>1060</v>
      </c>
      <c r="B115" t="s">
        <v>12</v>
      </c>
      <c r="C115">
        <v>19</v>
      </c>
      <c r="D115" t="s">
        <v>24</v>
      </c>
      <c r="E115" t="s">
        <v>167</v>
      </c>
      <c r="F115" t="s">
        <v>827</v>
      </c>
      <c r="G115">
        <v>1</v>
      </c>
      <c r="H115" t="s">
        <v>908</v>
      </c>
      <c r="I115" s="4">
        <v>45307</v>
      </c>
      <c r="J115" s="4">
        <v>45367</v>
      </c>
      <c r="K115" t="s">
        <v>40</v>
      </c>
      <c r="L115" t="s">
        <v>910</v>
      </c>
      <c r="M115">
        <f>Table1_4[[#This Row],[Last_Purchase_Date]]-Table1_4[[#This Row],[Join_Date]]</f>
        <v>60</v>
      </c>
      <c r="N115">
        <f t="shared" si="3"/>
        <v>1</v>
      </c>
      <c r="O115" t="str" cm="1">
        <f t="array" ref="O115">_xlfn.IFS(C115&gt;50, "51+", C115&gt;35, "36–50", C115&gt;25, "26–35", TRUE, "18–25")</f>
        <v>18–25</v>
      </c>
    </row>
    <row r="116" spans="1:15" x14ac:dyDescent="0.3">
      <c r="A116">
        <v>1321</v>
      </c>
      <c r="B116" t="s">
        <v>74</v>
      </c>
      <c r="C116">
        <v>19</v>
      </c>
      <c r="D116" t="s">
        <v>24</v>
      </c>
      <c r="E116" t="s">
        <v>167</v>
      </c>
      <c r="F116" t="s">
        <v>828</v>
      </c>
      <c r="G116">
        <v>4</v>
      </c>
      <c r="H116" t="s">
        <v>17</v>
      </c>
      <c r="I116" s="4">
        <v>45339</v>
      </c>
      <c r="J116" s="4">
        <v>45414</v>
      </c>
      <c r="K116" t="s">
        <v>40</v>
      </c>
      <c r="L116" t="s">
        <v>909</v>
      </c>
      <c r="M116">
        <f>Table1_4[[#This Row],[Last_Purchase_Date]]-Table1_4[[#This Row],[Join_Date]]</f>
        <v>75</v>
      </c>
      <c r="N116">
        <f t="shared" si="3"/>
        <v>1</v>
      </c>
      <c r="O116" t="str" cm="1">
        <f t="array" ref="O116">_xlfn.IFS(C116&gt;50, "51+", C116&gt;35, "36–50", C116&gt;25, "26–35", TRUE, "18–25")</f>
        <v>18–25</v>
      </c>
    </row>
    <row r="117" spans="1:15" x14ac:dyDescent="0.3">
      <c r="A117">
        <v>1254</v>
      </c>
      <c r="B117" t="s">
        <v>117</v>
      </c>
      <c r="C117">
        <v>22</v>
      </c>
      <c r="D117" t="s">
        <v>55</v>
      </c>
      <c r="E117" t="s">
        <v>167</v>
      </c>
      <c r="F117" t="s">
        <v>830</v>
      </c>
      <c r="G117">
        <v>2</v>
      </c>
      <c r="H117" t="s">
        <v>28</v>
      </c>
      <c r="I117" s="4">
        <v>45345</v>
      </c>
      <c r="J117" s="4">
        <v>45350</v>
      </c>
      <c r="K117" t="s">
        <v>914</v>
      </c>
      <c r="L117" t="s">
        <v>909</v>
      </c>
      <c r="M117">
        <f>Table1_4[[#This Row],[Last_Purchase_Date]]-Table1_4[[#This Row],[Join_Date]]</f>
        <v>5</v>
      </c>
      <c r="N117">
        <f t="shared" si="3"/>
        <v>0</v>
      </c>
      <c r="O117" t="str" cm="1">
        <f t="array" ref="O117">_xlfn.IFS(C117&gt;50, "51+", C117&gt;35, "36–50", C117&gt;25, "26–35", TRUE, "18–25")</f>
        <v>18–25</v>
      </c>
    </row>
    <row r="118" spans="1:15" x14ac:dyDescent="0.3">
      <c r="A118">
        <v>1460</v>
      </c>
      <c r="B118" t="s">
        <v>120</v>
      </c>
      <c r="C118">
        <v>18</v>
      </c>
      <c r="D118" t="s">
        <v>24</v>
      </c>
      <c r="E118" t="s">
        <v>156</v>
      </c>
      <c r="F118" t="s">
        <v>831</v>
      </c>
      <c r="G118">
        <v>4</v>
      </c>
      <c r="H118" t="s">
        <v>17</v>
      </c>
      <c r="I118" s="4">
        <v>45298</v>
      </c>
      <c r="J118" s="4">
        <v>45397</v>
      </c>
      <c r="K118" t="s">
        <v>69</v>
      </c>
      <c r="L118" t="s">
        <v>912</v>
      </c>
      <c r="M118">
        <f>Table1_4[[#This Row],[Last_Purchase_Date]]-Table1_4[[#This Row],[Join_Date]]</f>
        <v>99</v>
      </c>
      <c r="N118">
        <f t="shared" si="3"/>
        <v>0</v>
      </c>
      <c r="O118" t="str" cm="1">
        <f t="array" ref="O118">_xlfn.IFS(C118&gt;50, "51+", C118&gt;35, "36–50", C118&gt;25, "26–35", TRUE, "18–25")</f>
        <v>18–25</v>
      </c>
    </row>
    <row r="119" spans="1:15" x14ac:dyDescent="0.3">
      <c r="A119">
        <v>1323</v>
      </c>
      <c r="B119" t="s">
        <v>47</v>
      </c>
      <c r="C119">
        <v>19</v>
      </c>
      <c r="D119" t="s">
        <v>55</v>
      </c>
      <c r="E119" t="s">
        <v>156</v>
      </c>
      <c r="F119" t="s">
        <v>832</v>
      </c>
      <c r="G119">
        <v>0</v>
      </c>
      <c r="H119" t="s">
        <v>28</v>
      </c>
      <c r="I119" s="4">
        <v>45470</v>
      </c>
      <c r="J119" s="4">
        <v>45384</v>
      </c>
      <c r="K119" t="s">
        <v>40</v>
      </c>
      <c r="L119" t="s">
        <v>912</v>
      </c>
      <c r="M119">
        <f>Table1_4[[#This Row],[Last_Purchase_Date]]-Table1_4[[#This Row],[Join_Date]]</f>
        <v>-86</v>
      </c>
      <c r="N119">
        <f t="shared" si="3"/>
        <v>1</v>
      </c>
      <c r="O119" t="str" cm="1">
        <f t="array" ref="O119">_xlfn.IFS(C119&gt;50, "51+", C119&gt;35, "36–50", C119&gt;25, "26–35", TRUE, "18–25")</f>
        <v>18–25</v>
      </c>
    </row>
    <row r="120" spans="1:15" x14ac:dyDescent="0.3">
      <c r="A120">
        <v>1300</v>
      </c>
      <c r="B120" t="s">
        <v>163</v>
      </c>
      <c r="C120">
        <v>22</v>
      </c>
      <c r="D120" t="s">
        <v>659</v>
      </c>
      <c r="E120" t="s">
        <v>25</v>
      </c>
      <c r="F120" t="s">
        <v>833</v>
      </c>
      <c r="G120">
        <v>5</v>
      </c>
      <c r="H120" t="s">
        <v>17</v>
      </c>
      <c r="I120" s="4">
        <v>45360</v>
      </c>
      <c r="J120" s="4">
        <v>45454</v>
      </c>
      <c r="K120" t="s">
        <v>40</v>
      </c>
      <c r="L120" t="s">
        <v>913</v>
      </c>
      <c r="M120">
        <f>Table1_4[[#This Row],[Last_Purchase_Date]]-Table1_4[[#This Row],[Join_Date]]</f>
        <v>94</v>
      </c>
      <c r="N120">
        <f t="shared" si="3"/>
        <v>1</v>
      </c>
      <c r="O120" t="str" cm="1">
        <f t="array" ref="O120">_xlfn.IFS(C120&gt;50, "51+", C120&gt;35, "36–50", C120&gt;25, "26–35", TRUE, "18–25")</f>
        <v>18–25</v>
      </c>
    </row>
    <row r="121" spans="1:15" x14ac:dyDescent="0.3">
      <c r="A121">
        <v>1307</v>
      </c>
      <c r="B121" t="s">
        <v>47</v>
      </c>
      <c r="C121">
        <v>18</v>
      </c>
      <c r="D121" t="s">
        <v>24</v>
      </c>
      <c r="E121" t="s">
        <v>156</v>
      </c>
      <c r="F121" t="s">
        <v>834</v>
      </c>
      <c r="G121">
        <v>1</v>
      </c>
      <c r="H121" t="s">
        <v>17</v>
      </c>
      <c r="I121" s="4">
        <v>45403</v>
      </c>
      <c r="J121" s="4">
        <v>45383</v>
      </c>
      <c r="K121" t="s">
        <v>40</v>
      </c>
      <c r="L121" t="s">
        <v>912</v>
      </c>
      <c r="M121">
        <f>Table1_4[[#This Row],[Last_Purchase_Date]]-Table1_4[[#This Row],[Join_Date]]</f>
        <v>-20</v>
      </c>
      <c r="N121">
        <f t="shared" si="3"/>
        <v>1</v>
      </c>
      <c r="O121" t="str" cm="1">
        <f t="array" ref="O121">_xlfn.IFS(C121&gt;50, "51+", C121&gt;35, "36–50", C121&gt;25, "26–35", TRUE, "18–25")</f>
        <v>18–25</v>
      </c>
    </row>
    <row r="122" spans="1:15" x14ac:dyDescent="0.3">
      <c r="A122">
        <v>1135</v>
      </c>
      <c r="B122" t="s">
        <v>120</v>
      </c>
      <c r="C122">
        <v>25</v>
      </c>
      <c r="D122" t="s">
        <v>55</v>
      </c>
      <c r="E122" t="s">
        <v>25</v>
      </c>
      <c r="F122" t="s">
        <v>835</v>
      </c>
      <c r="G122">
        <v>4</v>
      </c>
      <c r="H122" t="s">
        <v>908</v>
      </c>
      <c r="I122" s="4">
        <v>45339</v>
      </c>
      <c r="J122" s="4">
        <v>45365</v>
      </c>
      <c r="K122" t="s">
        <v>914</v>
      </c>
      <c r="L122" t="s">
        <v>912</v>
      </c>
      <c r="M122">
        <f>Table1_4[[#This Row],[Last_Purchase_Date]]-Table1_4[[#This Row],[Join_Date]]</f>
        <v>26</v>
      </c>
      <c r="N122">
        <f t="shared" si="3"/>
        <v>0</v>
      </c>
      <c r="O122" t="str" cm="1">
        <f t="array" ref="O122">_xlfn.IFS(C122&gt;50, "51+", C122&gt;35, "36–50", C122&gt;25, "26–35", TRUE, "18–25")</f>
        <v>18–25</v>
      </c>
    </row>
    <row r="123" spans="1:15" x14ac:dyDescent="0.3">
      <c r="A123">
        <v>1486</v>
      </c>
      <c r="B123" t="s">
        <v>22</v>
      </c>
      <c r="C123">
        <v>0</v>
      </c>
      <c r="D123" t="s">
        <v>24</v>
      </c>
      <c r="E123" t="s">
        <v>84</v>
      </c>
      <c r="F123" t="s">
        <v>836</v>
      </c>
      <c r="G123">
        <v>5</v>
      </c>
      <c r="H123" t="s">
        <v>28</v>
      </c>
      <c r="I123" s="4">
        <v>45429</v>
      </c>
      <c r="J123" s="4">
        <v>45465</v>
      </c>
      <c r="K123" t="s">
        <v>69</v>
      </c>
      <c r="L123" t="s">
        <v>911</v>
      </c>
      <c r="M123">
        <f>Table1_4[[#This Row],[Last_Purchase_Date]]-Table1_4[[#This Row],[Join_Date]]</f>
        <v>36</v>
      </c>
      <c r="N123">
        <f t="shared" si="3"/>
        <v>0</v>
      </c>
      <c r="O123" t="str" cm="1">
        <f t="array" ref="O123">_xlfn.IFS(C123&gt;50, "51+", C123&gt;35, "36–50", C123&gt;25, "26–35", TRUE, "18–25")</f>
        <v>18–25</v>
      </c>
    </row>
    <row r="124" spans="1:15" x14ac:dyDescent="0.3">
      <c r="A124">
        <v>1141</v>
      </c>
      <c r="B124" t="s">
        <v>136</v>
      </c>
      <c r="C124">
        <v>25</v>
      </c>
      <c r="D124" t="s">
        <v>55</v>
      </c>
      <c r="E124" t="s">
        <v>25</v>
      </c>
      <c r="F124" t="s">
        <v>839</v>
      </c>
      <c r="G124">
        <v>1</v>
      </c>
      <c r="H124" t="s">
        <v>28</v>
      </c>
      <c r="I124" s="4">
        <v>45311</v>
      </c>
      <c r="J124" s="4">
        <v>45376</v>
      </c>
      <c r="K124" t="s">
        <v>20</v>
      </c>
      <c r="L124" t="s">
        <v>909</v>
      </c>
      <c r="M124">
        <f>Table1_4[[#This Row],[Last_Purchase_Date]]-Table1_4[[#This Row],[Join_Date]]</f>
        <v>65</v>
      </c>
      <c r="N124">
        <f t="shared" si="3"/>
        <v>0</v>
      </c>
      <c r="O124" t="str" cm="1">
        <f t="array" ref="O124">_xlfn.IFS(C124&gt;50, "51+", C124&gt;35, "36–50", C124&gt;25, "26–35", TRUE, "18–25")</f>
        <v>18–25</v>
      </c>
    </row>
    <row r="125" spans="1:15" x14ac:dyDescent="0.3">
      <c r="A125">
        <v>1412</v>
      </c>
      <c r="B125" t="s">
        <v>47</v>
      </c>
      <c r="C125">
        <v>20</v>
      </c>
      <c r="D125" t="s">
        <v>55</v>
      </c>
      <c r="E125" t="s">
        <v>84</v>
      </c>
      <c r="F125" t="s">
        <v>840</v>
      </c>
      <c r="G125">
        <v>0</v>
      </c>
      <c r="H125" t="s">
        <v>908</v>
      </c>
      <c r="I125" s="4">
        <v>45354</v>
      </c>
      <c r="J125" s="4">
        <v>45370</v>
      </c>
      <c r="K125" t="s">
        <v>69</v>
      </c>
      <c r="L125" t="s">
        <v>913</v>
      </c>
      <c r="M125">
        <f>Table1_4[[#This Row],[Last_Purchase_Date]]-Table1_4[[#This Row],[Join_Date]]</f>
        <v>16</v>
      </c>
      <c r="N125">
        <f t="shared" si="3"/>
        <v>0</v>
      </c>
      <c r="O125" t="str" cm="1">
        <f t="array" ref="O125">_xlfn.IFS(C125&gt;50, "51+", C125&gt;35, "36–50", C125&gt;25, "26–35", TRUE, "18–25")</f>
        <v>18–25</v>
      </c>
    </row>
    <row r="126" spans="1:15" x14ac:dyDescent="0.3">
      <c r="A126">
        <v>1319</v>
      </c>
      <c r="B126" t="s">
        <v>155</v>
      </c>
      <c r="C126">
        <v>23</v>
      </c>
      <c r="D126" t="s">
        <v>55</v>
      </c>
      <c r="E126" t="s">
        <v>156</v>
      </c>
      <c r="F126" t="s">
        <v>842</v>
      </c>
      <c r="G126">
        <v>5</v>
      </c>
      <c r="H126" t="s">
        <v>17</v>
      </c>
      <c r="I126" s="4">
        <v>45333</v>
      </c>
      <c r="J126" s="4">
        <v>45447</v>
      </c>
      <c r="K126" t="s">
        <v>69</v>
      </c>
      <c r="L126" t="s">
        <v>910</v>
      </c>
      <c r="M126">
        <f>Table1_4[[#This Row],[Last_Purchase_Date]]-Table1_4[[#This Row],[Join_Date]]</f>
        <v>114</v>
      </c>
      <c r="N126">
        <f t="shared" si="3"/>
        <v>0</v>
      </c>
      <c r="O126" t="str" cm="1">
        <f t="array" ref="O126">_xlfn.IFS(C126&gt;50, "51+", C126&gt;35, "36–50", C126&gt;25, "26–35", TRUE, "18–25")</f>
        <v>18–25</v>
      </c>
    </row>
    <row r="127" spans="1:15" x14ac:dyDescent="0.3">
      <c r="A127">
        <v>1496</v>
      </c>
      <c r="B127" t="s">
        <v>12</v>
      </c>
      <c r="C127">
        <v>24</v>
      </c>
      <c r="D127" t="s">
        <v>55</v>
      </c>
      <c r="E127" t="s">
        <v>25</v>
      </c>
      <c r="F127" t="s">
        <v>846</v>
      </c>
      <c r="G127">
        <v>2</v>
      </c>
      <c r="H127" t="s">
        <v>908</v>
      </c>
      <c r="I127" s="4">
        <v>45313</v>
      </c>
      <c r="J127" s="4">
        <v>45447</v>
      </c>
      <c r="K127" t="s">
        <v>40</v>
      </c>
      <c r="L127" t="s">
        <v>911</v>
      </c>
      <c r="M127">
        <f>Table1_4[[#This Row],[Last_Purchase_Date]]-Table1_4[[#This Row],[Join_Date]]</f>
        <v>134</v>
      </c>
      <c r="N127">
        <f t="shared" si="3"/>
        <v>1</v>
      </c>
      <c r="O127" t="str" cm="1">
        <f t="array" ref="O127">_xlfn.IFS(C127&gt;50, "51+", C127&gt;35, "36–50", C127&gt;25, "26–35", TRUE, "18–25")</f>
        <v>18–25</v>
      </c>
    </row>
    <row r="128" spans="1:15" x14ac:dyDescent="0.3">
      <c r="A128">
        <v>1424</v>
      </c>
      <c r="B128" t="s">
        <v>74</v>
      </c>
      <c r="C128">
        <v>22</v>
      </c>
      <c r="D128" t="s">
        <v>659</v>
      </c>
      <c r="E128" t="s">
        <v>167</v>
      </c>
      <c r="F128" t="s">
        <v>849</v>
      </c>
      <c r="G128">
        <v>5</v>
      </c>
      <c r="H128" t="s">
        <v>908</v>
      </c>
      <c r="I128" s="4">
        <v>45310</v>
      </c>
      <c r="J128" s="4">
        <v>45383</v>
      </c>
      <c r="K128" t="s">
        <v>20</v>
      </c>
      <c r="L128" t="s">
        <v>913</v>
      </c>
      <c r="M128">
        <f>Table1_4[[#This Row],[Last_Purchase_Date]]-Table1_4[[#This Row],[Join_Date]]</f>
        <v>73</v>
      </c>
      <c r="N128">
        <f t="shared" si="3"/>
        <v>0</v>
      </c>
      <c r="O128" t="str" cm="1">
        <f t="array" ref="O128">_xlfn.IFS(C128&gt;50, "51+", C128&gt;35, "36–50", C128&gt;25, "26–35", TRUE, "18–25")</f>
        <v>18–25</v>
      </c>
    </row>
    <row r="129" spans="1:15" x14ac:dyDescent="0.3">
      <c r="A129">
        <v>1472</v>
      </c>
      <c r="B129" t="s">
        <v>22</v>
      </c>
      <c r="C129">
        <v>22</v>
      </c>
      <c r="D129" t="s">
        <v>659</v>
      </c>
      <c r="E129" t="s">
        <v>84</v>
      </c>
      <c r="F129" t="s">
        <v>850</v>
      </c>
      <c r="G129">
        <v>4</v>
      </c>
      <c r="H129" t="s">
        <v>908</v>
      </c>
      <c r="I129" s="4">
        <v>45324</v>
      </c>
      <c r="J129" s="4">
        <v>45366</v>
      </c>
      <c r="K129" t="s">
        <v>20</v>
      </c>
      <c r="L129" t="s">
        <v>912</v>
      </c>
      <c r="M129">
        <f>Table1_4[[#This Row],[Last_Purchase_Date]]-Table1_4[[#This Row],[Join_Date]]</f>
        <v>42</v>
      </c>
      <c r="N129">
        <f t="shared" si="3"/>
        <v>0</v>
      </c>
      <c r="O129" t="str" cm="1">
        <f t="array" ref="O129">_xlfn.IFS(C129&gt;50, "51+", C129&gt;35, "36–50", C129&gt;25, "26–35", TRUE, "18–25")</f>
        <v>18–25</v>
      </c>
    </row>
    <row r="130" spans="1:15" x14ac:dyDescent="0.3">
      <c r="A130">
        <v>1372</v>
      </c>
      <c r="B130" t="s">
        <v>120</v>
      </c>
      <c r="C130">
        <v>0</v>
      </c>
      <c r="D130" t="s">
        <v>24</v>
      </c>
      <c r="E130" t="s">
        <v>25</v>
      </c>
      <c r="F130" t="s">
        <v>851</v>
      </c>
      <c r="G130">
        <v>2</v>
      </c>
      <c r="H130" t="s">
        <v>908</v>
      </c>
      <c r="I130" s="4">
        <v>45343</v>
      </c>
      <c r="J130" s="4">
        <v>45308</v>
      </c>
      <c r="K130" t="s">
        <v>40</v>
      </c>
      <c r="L130" t="s">
        <v>912</v>
      </c>
      <c r="M130">
        <f>Table1_4[[#This Row],[Last_Purchase_Date]]-Table1_4[[#This Row],[Join_Date]]</f>
        <v>-35</v>
      </c>
      <c r="N130">
        <f t="shared" ref="N130:N161" si="4">IF(K130="Active",1,0)</f>
        <v>1</v>
      </c>
      <c r="O130" t="str" cm="1">
        <f t="array" ref="O130">_xlfn.IFS(C130&gt;50, "51+", C130&gt;35, "36–50", C130&gt;25, "26–35", TRUE, "18–25")</f>
        <v>18–25</v>
      </c>
    </row>
    <row r="131" spans="1:15" x14ac:dyDescent="0.3">
      <c r="A131">
        <v>1250</v>
      </c>
      <c r="B131" t="s">
        <v>47</v>
      </c>
      <c r="C131">
        <v>0</v>
      </c>
      <c r="D131" t="s">
        <v>24</v>
      </c>
      <c r="E131" t="s">
        <v>25</v>
      </c>
      <c r="F131" t="s">
        <v>852</v>
      </c>
      <c r="G131">
        <v>3</v>
      </c>
      <c r="H131" t="s">
        <v>17</v>
      </c>
      <c r="I131" s="4">
        <v>45312</v>
      </c>
      <c r="J131" s="4">
        <v>45357</v>
      </c>
      <c r="K131" t="s">
        <v>69</v>
      </c>
      <c r="L131" t="s">
        <v>910</v>
      </c>
      <c r="M131">
        <f>Table1_4[[#This Row],[Last_Purchase_Date]]-Table1_4[[#This Row],[Join_Date]]</f>
        <v>45</v>
      </c>
      <c r="N131">
        <f t="shared" si="4"/>
        <v>0</v>
      </c>
      <c r="O131" t="str" cm="1">
        <f t="array" ref="O131">_xlfn.IFS(C131&gt;50, "51+", C131&gt;35, "36–50", C131&gt;25, "26–35", TRUE, "18–25")</f>
        <v>18–25</v>
      </c>
    </row>
    <row r="132" spans="1:15" x14ac:dyDescent="0.3">
      <c r="A132">
        <v>1447</v>
      </c>
      <c r="B132" t="s">
        <v>22</v>
      </c>
      <c r="C132">
        <v>22</v>
      </c>
      <c r="D132" t="s">
        <v>24</v>
      </c>
      <c r="E132" t="s">
        <v>25</v>
      </c>
      <c r="F132" t="s">
        <v>853</v>
      </c>
      <c r="G132">
        <v>5</v>
      </c>
      <c r="H132" t="s">
        <v>908</v>
      </c>
      <c r="I132" s="4">
        <v>45378</v>
      </c>
      <c r="J132" s="4">
        <v>45326</v>
      </c>
      <c r="K132" t="s">
        <v>69</v>
      </c>
      <c r="L132" t="s">
        <v>911</v>
      </c>
      <c r="M132">
        <f>Table1_4[[#This Row],[Last_Purchase_Date]]-Table1_4[[#This Row],[Join_Date]]</f>
        <v>-52</v>
      </c>
      <c r="N132">
        <f t="shared" si="4"/>
        <v>0</v>
      </c>
      <c r="O132" t="str" cm="1">
        <f t="array" ref="O132">_xlfn.IFS(C132&gt;50, "51+", C132&gt;35, "36–50", C132&gt;25, "26–35", TRUE, "18–25")</f>
        <v>18–25</v>
      </c>
    </row>
    <row r="133" spans="1:15" x14ac:dyDescent="0.3">
      <c r="A133">
        <v>1493</v>
      </c>
      <c r="B133" t="s">
        <v>74</v>
      </c>
      <c r="C133">
        <v>23</v>
      </c>
      <c r="D133" t="s">
        <v>659</v>
      </c>
      <c r="E133" t="s">
        <v>25</v>
      </c>
      <c r="F133" t="s">
        <v>855</v>
      </c>
      <c r="G133">
        <v>5</v>
      </c>
      <c r="H133" t="s">
        <v>908</v>
      </c>
      <c r="I133" s="4">
        <v>45537</v>
      </c>
      <c r="J133" s="4">
        <v>45376</v>
      </c>
      <c r="K133" t="s">
        <v>20</v>
      </c>
      <c r="L133" t="s">
        <v>911</v>
      </c>
      <c r="M133">
        <f>Table1_4[[#This Row],[Last_Purchase_Date]]-Table1_4[[#This Row],[Join_Date]]</f>
        <v>-161</v>
      </c>
      <c r="N133">
        <f t="shared" si="4"/>
        <v>0</v>
      </c>
      <c r="O133" t="str" cm="1">
        <f t="array" ref="O133">_xlfn.IFS(C133&gt;50, "51+", C133&gt;35, "36–50", C133&gt;25, "26–35", TRUE, "18–25")</f>
        <v>18–25</v>
      </c>
    </row>
    <row r="134" spans="1:15" x14ac:dyDescent="0.3">
      <c r="A134">
        <v>1077</v>
      </c>
      <c r="B134" t="s">
        <v>120</v>
      </c>
      <c r="C134">
        <v>25</v>
      </c>
      <c r="D134" t="s">
        <v>24</v>
      </c>
      <c r="E134" t="s">
        <v>156</v>
      </c>
      <c r="F134" t="s">
        <v>856</v>
      </c>
      <c r="G134">
        <v>3</v>
      </c>
      <c r="H134" t="s">
        <v>28</v>
      </c>
      <c r="I134" s="4">
        <v>45385</v>
      </c>
      <c r="J134" s="4">
        <v>45354</v>
      </c>
      <c r="K134" t="s">
        <v>20</v>
      </c>
      <c r="L134" t="s">
        <v>912</v>
      </c>
      <c r="M134">
        <f>Table1_4[[#This Row],[Last_Purchase_Date]]-Table1_4[[#This Row],[Join_Date]]</f>
        <v>-31</v>
      </c>
      <c r="N134">
        <f t="shared" si="4"/>
        <v>0</v>
      </c>
      <c r="O134" t="str" cm="1">
        <f t="array" ref="O134">_xlfn.IFS(C134&gt;50, "51+", C134&gt;35, "36–50", C134&gt;25, "26–35", TRUE, "18–25")</f>
        <v>18–25</v>
      </c>
    </row>
    <row r="135" spans="1:15" x14ac:dyDescent="0.3">
      <c r="A135">
        <v>1008</v>
      </c>
      <c r="B135" t="s">
        <v>12</v>
      </c>
      <c r="C135">
        <v>21</v>
      </c>
      <c r="D135" t="s">
        <v>24</v>
      </c>
      <c r="E135" t="s">
        <v>156</v>
      </c>
      <c r="F135" t="s">
        <v>857</v>
      </c>
      <c r="G135">
        <v>2</v>
      </c>
      <c r="H135" t="s">
        <v>28</v>
      </c>
      <c r="I135" s="4">
        <v>45398</v>
      </c>
      <c r="J135" s="4">
        <v>45429</v>
      </c>
      <c r="K135" t="s">
        <v>40</v>
      </c>
      <c r="L135" t="s">
        <v>913</v>
      </c>
      <c r="M135">
        <f>Table1_4[[#This Row],[Last_Purchase_Date]]-Table1_4[[#This Row],[Join_Date]]</f>
        <v>31</v>
      </c>
      <c r="N135">
        <f t="shared" si="4"/>
        <v>1</v>
      </c>
      <c r="O135" t="str" cm="1">
        <f t="array" ref="O135">_xlfn.IFS(C135&gt;50, "51+", C135&gt;35, "36–50", C135&gt;25, "26–35", TRUE, "18–25")</f>
        <v>18–25</v>
      </c>
    </row>
    <row r="136" spans="1:15" x14ac:dyDescent="0.3">
      <c r="A136">
        <v>1206</v>
      </c>
      <c r="B136" t="s">
        <v>32</v>
      </c>
      <c r="C136">
        <v>22</v>
      </c>
      <c r="D136" t="s">
        <v>24</v>
      </c>
      <c r="E136" t="s">
        <v>25</v>
      </c>
      <c r="F136" t="s">
        <v>858</v>
      </c>
      <c r="G136">
        <v>5</v>
      </c>
      <c r="H136" t="s">
        <v>908</v>
      </c>
      <c r="I136" s="4">
        <v>45438</v>
      </c>
      <c r="J136" s="4">
        <v>45372</v>
      </c>
      <c r="K136" t="s">
        <v>69</v>
      </c>
      <c r="L136" t="s">
        <v>912</v>
      </c>
      <c r="M136">
        <f>Table1_4[[#This Row],[Last_Purchase_Date]]-Table1_4[[#This Row],[Join_Date]]</f>
        <v>-66</v>
      </c>
      <c r="N136">
        <f t="shared" si="4"/>
        <v>0</v>
      </c>
      <c r="O136" t="str" cm="1">
        <f t="array" ref="O136">_xlfn.IFS(C136&gt;50, "51+", C136&gt;35, "36–50", C136&gt;25, "26–35", TRUE, "18–25")</f>
        <v>18–25</v>
      </c>
    </row>
    <row r="137" spans="1:15" x14ac:dyDescent="0.3">
      <c r="A137">
        <v>1065</v>
      </c>
      <c r="B137" t="s">
        <v>32</v>
      </c>
      <c r="C137">
        <v>19</v>
      </c>
      <c r="D137" t="s">
        <v>659</v>
      </c>
      <c r="E137" t="s">
        <v>167</v>
      </c>
      <c r="F137" t="s">
        <v>860</v>
      </c>
      <c r="G137">
        <v>2</v>
      </c>
      <c r="H137" t="s">
        <v>17</v>
      </c>
      <c r="I137" s="4">
        <v>45387</v>
      </c>
      <c r="J137" s="4">
        <v>45310</v>
      </c>
      <c r="K137" t="s">
        <v>40</v>
      </c>
      <c r="L137" t="s">
        <v>912</v>
      </c>
      <c r="M137">
        <f>Table1_4[[#This Row],[Last_Purchase_Date]]-Table1_4[[#This Row],[Join_Date]]</f>
        <v>-77</v>
      </c>
      <c r="N137">
        <f t="shared" si="4"/>
        <v>1</v>
      </c>
      <c r="O137" t="str" cm="1">
        <f t="array" ref="O137">_xlfn.IFS(C137&gt;50, "51+", C137&gt;35, "36–50", C137&gt;25, "26–35", TRUE, "18–25")</f>
        <v>18–25</v>
      </c>
    </row>
    <row r="138" spans="1:15" x14ac:dyDescent="0.3">
      <c r="A138">
        <v>1222</v>
      </c>
      <c r="B138" t="s">
        <v>136</v>
      </c>
      <c r="C138">
        <v>21</v>
      </c>
      <c r="D138" t="s">
        <v>55</v>
      </c>
      <c r="E138" t="s">
        <v>167</v>
      </c>
      <c r="F138" t="s">
        <v>861</v>
      </c>
      <c r="G138">
        <v>4</v>
      </c>
      <c r="H138" t="s">
        <v>28</v>
      </c>
      <c r="I138" s="4">
        <v>45301</v>
      </c>
      <c r="J138" s="4">
        <v>45370</v>
      </c>
      <c r="K138" t="s">
        <v>40</v>
      </c>
      <c r="L138" t="s">
        <v>913</v>
      </c>
      <c r="M138">
        <f>Table1_4[[#This Row],[Last_Purchase_Date]]-Table1_4[[#This Row],[Join_Date]]</f>
        <v>69</v>
      </c>
      <c r="N138">
        <f t="shared" si="4"/>
        <v>1</v>
      </c>
      <c r="O138" t="str" cm="1">
        <f t="array" ref="O138">_xlfn.IFS(C138&gt;50, "51+", C138&gt;35, "36–50", C138&gt;25, "26–35", TRUE, "18–25")</f>
        <v>18–25</v>
      </c>
    </row>
    <row r="139" spans="1:15" x14ac:dyDescent="0.3">
      <c r="A139">
        <v>1198</v>
      </c>
      <c r="B139" t="s">
        <v>117</v>
      </c>
      <c r="C139">
        <v>22</v>
      </c>
      <c r="D139" t="s">
        <v>55</v>
      </c>
      <c r="E139" t="s">
        <v>156</v>
      </c>
      <c r="F139" t="s">
        <v>862</v>
      </c>
      <c r="G139">
        <v>1</v>
      </c>
      <c r="H139" t="s">
        <v>908</v>
      </c>
      <c r="I139" s="4">
        <v>45344</v>
      </c>
      <c r="J139" s="4">
        <v>45383</v>
      </c>
      <c r="K139" t="s">
        <v>20</v>
      </c>
      <c r="L139" t="s">
        <v>910</v>
      </c>
      <c r="M139">
        <f>Table1_4[[#This Row],[Last_Purchase_Date]]-Table1_4[[#This Row],[Join_Date]]</f>
        <v>39</v>
      </c>
      <c r="N139">
        <f t="shared" si="4"/>
        <v>0</v>
      </c>
      <c r="O139" t="str" cm="1">
        <f t="array" ref="O139">_xlfn.IFS(C139&gt;50, "51+", C139&gt;35, "36–50", C139&gt;25, "26–35", TRUE, "18–25")</f>
        <v>18–25</v>
      </c>
    </row>
    <row r="140" spans="1:15" x14ac:dyDescent="0.3">
      <c r="A140">
        <v>1040</v>
      </c>
      <c r="B140" t="s">
        <v>120</v>
      </c>
      <c r="C140">
        <v>21</v>
      </c>
      <c r="D140" t="s">
        <v>55</v>
      </c>
      <c r="E140" t="s">
        <v>84</v>
      </c>
      <c r="F140" t="s">
        <v>863</v>
      </c>
      <c r="G140">
        <v>4</v>
      </c>
      <c r="H140" t="s">
        <v>28</v>
      </c>
      <c r="I140" s="4">
        <v>45404</v>
      </c>
      <c r="J140" s="4">
        <v>45355</v>
      </c>
      <c r="K140" t="s">
        <v>40</v>
      </c>
      <c r="L140" t="s">
        <v>913</v>
      </c>
      <c r="M140">
        <f>Table1_4[[#This Row],[Last_Purchase_Date]]-Table1_4[[#This Row],[Join_Date]]</f>
        <v>-49</v>
      </c>
      <c r="N140">
        <f t="shared" si="4"/>
        <v>1</v>
      </c>
      <c r="O140" t="str" cm="1">
        <f t="array" ref="O140">_xlfn.IFS(C140&gt;50, "51+", C140&gt;35, "36–50", C140&gt;25, "26–35", TRUE, "18–25")</f>
        <v>18–25</v>
      </c>
    </row>
    <row r="141" spans="1:15" x14ac:dyDescent="0.3">
      <c r="A141">
        <v>1375</v>
      </c>
      <c r="B141" t="s">
        <v>74</v>
      </c>
      <c r="C141">
        <v>19</v>
      </c>
      <c r="D141" t="s">
        <v>55</v>
      </c>
      <c r="E141" t="s">
        <v>156</v>
      </c>
      <c r="F141" t="s">
        <v>864</v>
      </c>
      <c r="G141">
        <v>0</v>
      </c>
      <c r="H141" t="s">
        <v>17</v>
      </c>
      <c r="I141" s="4">
        <v>45475</v>
      </c>
      <c r="J141" s="4">
        <v>45339</v>
      </c>
      <c r="K141" t="s">
        <v>40</v>
      </c>
      <c r="L141" t="s">
        <v>912</v>
      </c>
      <c r="M141">
        <f>Table1_4[[#This Row],[Last_Purchase_Date]]-Table1_4[[#This Row],[Join_Date]]</f>
        <v>-136</v>
      </c>
      <c r="N141">
        <f t="shared" si="4"/>
        <v>1</v>
      </c>
      <c r="O141" t="str" cm="1">
        <f t="array" ref="O141">_xlfn.IFS(C141&gt;50, "51+", C141&gt;35, "36–50", C141&gt;25, "26–35", TRUE, "18–25")</f>
        <v>18–25</v>
      </c>
    </row>
    <row r="142" spans="1:15" x14ac:dyDescent="0.3">
      <c r="A142">
        <v>1458</v>
      </c>
      <c r="B142" t="s">
        <v>22</v>
      </c>
      <c r="C142">
        <v>21</v>
      </c>
      <c r="D142" t="s">
        <v>55</v>
      </c>
      <c r="E142" t="s">
        <v>25</v>
      </c>
      <c r="F142" t="s">
        <v>865</v>
      </c>
      <c r="G142">
        <v>1</v>
      </c>
      <c r="H142" t="s">
        <v>28</v>
      </c>
      <c r="I142" s="4">
        <v>45471</v>
      </c>
      <c r="J142" s="4">
        <v>45295</v>
      </c>
      <c r="K142" t="s">
        <v>69</v>
      </c>
      <c r="L142" t="s">
        <v>910</v>
      </c>
      <c r="M142">
        <f>Table1_4[[#This Row],[Last_Purchase_Date]]-Table1_4[[#This Row],[Join_Date]]</f>
        <v>-176</v>
      </c>
      <c r="N142">
        <f t="shared" si="4"/>
        <v>0</v>
      </c>
      <c r="O142" t="str" cm="1">
        <f t="array" ref="O142">_xlfn.IFS(C142&gt;50, "51+", C142&gt;35, "36–50", C142&gt;25, "26–35", TRUE, "18–25")</f>
        <v>18–25</v>
      </c>
    </row>
    <row r="143" spans="1:15" x14ac:dyDescent="0.3">
      <c r="A143">
        <v>1076</v>
      </c>
      <c r="B143" t="s">
        <v>22</v>
      </c>
      <c r="C143">
        <v>23</v>
      </c>
      <c r="D143" t="s">
        <v>55</v>
      </c>
      <c r="E143" t="s">
        <v>25</v>
      </c>
      <c r="F143" t="s">
        <v>866</v>
      </c>
      <c r="G143">
        <v>2</v>
      </c>
      <c r="H143" t="s">
        <v>17</v>
      </c>
      <c r="I143" s="4">
        <v>45352</v>
      </c>
      <c r="J143" s="4">
        <v>45407</v>
      </c>
      <c r="K143" t="s">
        <v>69</v>
      </c>
      <c r="L143" t="s">
        <v>909</v>
      </c>
      <c r="M143">
        <f>Table1_4[[#This Row],[Last_Purchase_Date]]-Table1_4[[#This Row],[Join_Date]]</f>
        <v>55</v>
      </c>
      <c r="N143">
        <f t="shared" si="4"/>
        <v>0</v>
      </c>
      <c r="O143" t="str" cm="1">
        <f t="array" ref="O143">_xlfn.IFS(C143&gt;50, "51+", C143&gt;35, "36–50", C143&gt;25, "26–35", TRUE, "18–25")</f>
        <v>18–25</v>
      </c>
    </row>
    <row r="144" spans="1:15" x14ac:dyDescent="0.3">
      <c r="A144">
        <v>1153</v>
      </c>
      <c r="B144" t="s">
        <v>163</v>
      </c>
      <c r="C144">
        <v>0</v>
      </c>
      <c r="D144" t="s">
        <v>55</v>
      </c>
      <c r="E144" t="s">
        <v>167</v>
      </c>
      <c r="F144" t="s">
        <v>868</v>
      </c>
      <c r="G144">
        <v>1</v>
      </c>
      <c r="H144" t="s">
        <v>17</v>
      </c>
      <c r="I144" s="4">
        <v>45390</v>
      </c>
      <c r="J144" s="4">
        <v>45357</v>
      </c>
      <c r="K144" t="s">
        <v>914</v>
      </c>
      <c r="L144" t="s">
        <v>913</v>
      </c>
      <c r="M144">
        <f>Table1_4[[#This Row],[Last_Purchase_Date]]-Table1_4[[#This Row],[Join_Date]]</f>
        <v>-33</v>
      </c>
      <c r="N144">
        <f t="shared" si="4"/>
        <v>0</v>
      </c>
      <c r="O144" t="str" cm="1">
        <f t="array" ref="O144">_xlfn.IFS(C144&gt;50, "51+", C144&gt;35, "36–50", C144&gt;25, "26–35", TRUE, "18–25")</f>
        <v>18–25</v>
      </c>
    </row>
    <row r="145" spans="1:15" x14ac:dyDescent="0.3">
      <c r="A145">
        <v>1490</v>
      </c>
      <c r="B145" t="s">
        <v>120</v>
      </c>
      <c r="C145">
        <v>24</v>
      </c>
      <c r="D145" t="s">
        <v>55</v>
      </c>
      <c r="E145" t="s">
        <v>84</v>
      </c>
      <c r="F145" t="s">
        <v>869</v>
      </c>
      <c r="G145">
        <v>4</v>
      </c>
      <c r="H145" t="s">
        <v>28</v>
      </c>
      <c r="I145" s="4">
        <v>45438</v>
      </c>
      <c r="J145" s="4">
        <v>45383</v>
      </c>
      <c r="K145" t="s">
        <v>40</v>
      </c>
      <c r="L145" t="s">
        <v>913</v>
      </c>
      <c r="M145">
        <f>Table1_4[[#This Row],[Last_Purchase_Date]]-Table1_4[[#This Row],[Join_Date]]</f>
        <v>-55</v>
      </c>
      <c r="N145">
        <f t="shared" si="4"/>
        <v>1</v>
      </c>
      <c r="O145" t="str" cm="1">
        <f t="array" ref="O145">_xlfn.IFS(C145&gt;50, "51+", C145&gt;35, "36–50", C145&gt;25, "26–35", TRUE, "18–25")</f>
        <v>18–25</v>
      </c>
    </row>
    <row r="146" spans="1:15" x14ac:dyDescent="0.3">
      <c r="A146">
        <v>1497</v>
      </c>
      <c r="B146" t="s">
        <v>163</v>
      </c>
      <c r="C146">
        <v>24</v>
      </c>
      <c r="D146" t="s">
        <v>24</v>
      </c>
      <c r="E146" t="s">
        <v>25</v>
      </c>
      <c r="F146" t="s">
        <v>871</v>
      </c>
      <c r="G146">
        <v>2</v>
      </c>
      <c r="H146" t="s">
        <v>908</v>
      </c>
      <c r="I146" s="4">
        <v>45292</v>
      </c>
      <c r="J146" s="4">
        <v>45431</v>
      </c>
      <c r="K146" t="s">
        <v>40</v>
      </c>
      <c r="L146" t="s">
        <v>909</v>
      </c>
      <c r="M146">
        <f>Table1_4[[#This Row],[Last_Purchase_Date]]-Table1_4[[#This Row],[Join_Date]]</f>
        <v>139</v>
      </c>
      <c r="N146">
        <f t="shared" si="4"/>
        <v>1</v>
      </c>
      <c r="O146" t="str" cm="1">
        <f t="array" ref="O146">_xlfn.IFS(C146&gt;50, "51+", C146&gt;35, "36–50", C146&gt;25, "26–35", TRUE, "18–25")</f>
        <v>18–25</v>
      </c>
    </row>
    <row r="147" spans="1:15" x14ac:dyDescent="0.3">
      <c r="A147">
        <v>1247</v>
      </c>
      <c r="B147" t="s">
        <v>22</v>
      </c>
      <c r="C147">
        <v>24</v>
      </c>
      <c r="D147" t="s">
        <v>659</v>
      </c>
      <c r="E147" t="s">
        <v>156</v>
      </c>
      <c r="F147" t="s">
        <v>877</v>
      </c>
      <c r="G147">
        <v>4</v>
      </c>
      <c r="H147" t="s">
        <v>17</v>
      </c>
      <c r="I147" s="4">
        <v>45398</v>
      </c>
      <c r="J147" s="4">
        <v>45296</v>
      </c>
      <c r="K147" t="s">
        <v>20</v>
      </c>
      <c r="L147" t="s">
        <v>909</v>
      </c>
      <c r="M147">
        <f>Table1_4[[#This Row],[Last_Purchase_Date]]-Table1_4[[#This Row],[Join_Date]]</f>
        <v>-102</v>
      </c>
      <c r="N147">
        <f t="shared" si="4"/>
        <v>0</v>
      </c>
      <c r="O147" t="str" cm="1">
        <f t="array" ref="O147">_xlfn.IFS(C147&gt;50, "51+", C147&gt;35, "36–50", C147&gt;25, "26–35", TRUE, "18–25")</f>
        <v>18–25</v>
      </c>
    </row>
    <row r="148" spans="1:15" x14ac:dyDescent="0.3">
      <c r="A148">
        <v>1169</v>
      </c>
      <c r="B148" t="s">
        <v>136</v>
      </c>
      <c r="C148">
        <v>22</v>
      </c>
      <c r="D148" t="s">
        <v>24</v>
      </c>
      <c r="E148" t="s">
        <v>167</v>
      </c>
      <c r="F148" t="s">
        <v>878</v>
      </c>
      <c r="G148">
        <v>5</v>
      </c>
      <c r="H148" t="s">
        <v>28</v>
      </c>
      <c r="I148" s="4">
        <v>45437</v>
      </c>
      <c r="J148" s="4">
        <v>45295</v>
      </c>
      <c r="K148" t="s">
        <v>40</v>
      </c>
      <c r="L148" t="s">
        <v>911</v>
      </c>
      <c r="M148">
        <f>Table1_4[[#This Row],[Last_Purchase_Date]]-Table1_4[[#This Row],[Join_Date]]</f>
        <v>-142</v>
      </c>
      <c r="N148">
        <f t="shared" si="4"/>
        <v>1</v>
      </c>
      <c r="O148" t="str" cm="1">
        <f t="array" ref="O148">_xlfn.IFS(C148&gt;50, "51+", C148&gt;35, "36–50", C148&gt;25, "26–35", TRUE, "18–25")</f>
        <v>18–25</v>
      </c>
    </row>
    <row r="149" spans="1:15" x14ac:dyDescent="0.3">
      <c r="A149">
        <v>1440</v>
      </c>
      <c r="B149" t="s">
        <v>47</v>
      </c>
      <c r="C149">
        <v>18</v>
      </c>
      <c r="D149" t="s">
        <v>24</v>
      </c>
      <c r="E149" t="s">
        <v>167</v>
      </c>
      <c r="F149" t="s">
        <v>880</v>
      </c>
      <c r="G149">
        <v>3</v>
      </c>
      <c r="H149" t="s">
        <v>28</v>
      </c>
      <c r="I149" s="4">
        <v>45326</v>
      </c>
      <c r="J149" s="4">
        <v>45431</v>
      </c>
      <c r="K149" t="s">
        <v>40</v>
      </c>
      <c r="L149" t="s">
        <v>912</v>
      </c>
      <c r="M149">
        <f>Table1_4[[#This Row],[Last_Purchase_Date]]-Table1_4[[#This Row],[Join_Date]]</f>
        <v>105</v>
      </c>
      <c r="N149">
        <f t="shared" si="4"/>
        <v>1</v>
      </c>
      <c r="O149" t="str" cm="1">
        <f t="array" ref="O149">_xlfn.IFS(C149&gt;50, "51+", C149&gt;35, "36–50", C149&gt;25, "26–35", TRUE, "18–25")</f>
        <v>18–25</v>
      </c>
    </row>
    <row r="150" spans="1:15" x14ac:dyDescent="0.3">
      <c r="A150">
        <v>1471</v>
      </c>
      <c r="B150" t="s">
        <v>107</v>
      </c>
      <c r="C150">
        <v>0</v>
      </c>
      <c r="D150" t="s">
        <v>55</v>
      </c>
      <c r="E150" t="s">
        <v>84</v>
      </c>
      <c r="F150" t="s">
        <v>881</v>
      </c>
      <c r="G150">
        <v>4</v>
      </c>
      <c r="H150" t="s">
        <v>908</v>
      </c>
      <c r="I150" s="4">
        <v>45457</v>
      </c>
      <c r="J150" s="4">
        <v>45294</v>
      </c>
      <c r="K150" t="s">
        <v>40</v>
      </c>
      <c r="L150" t="s">
        <v>913</v>
      </c>
      <c r="M150">
        <f>Table1_4[[#This Row],[Last_Purchase_Date]]-Table1_4[[#This Row],[Join_Date]]</f>
        <v>-163</v>
      </c>
      <c r="N150">
        <f t="shared" si="4"/>
        <v>1</v>
      </c>
      <c r="O150" t="str" cm="1">
        <f t="array" ref="O150">_xlfn.IFS(C150&gt;50, "51+", C150&gt;35, "36–50", C150&gt;25, "26–35", TRUE, "18–25")</f>
        <v>18–25</v>
      </c>
    </row>
    <row r="151" spans="1:15" x14ac:dyDescent="0.3">
      <c r="A151">
        <v>1003</v>
      </c>
      <c r="B151" t="s">
        <v>120</v>
      </c>
      <c r="C151">
        <v>19</v>
      </c>
      <c r="D151" t="s">
        <v>24</v>
      </c>
      <c r="E151" t="s">
        <v>156</v>
      </c>
      <c r="F151" t="s">
        <v>884</v>
      </c>
      <c r="G151">
        <v>4</v>
      </c>
      <c r="H151" t="s">
        <v>17</v>
      </c>
      <c r="I151" s="4">
        <v>45366</v>
      </c>
      <c r="J151" s="4">
        <v>45427</v>
      </c>
      <c r="K151" t="s">
        <v>914</v>
      </c>
      <c r="L151" t="s">
        <v>910</v>
      </c>
      <c r="M151">
        <f>Table1_4[[#This Row],[Last_Purchase_Date]]-Table1_4[[#This Row],[Join_Date]]</f>
        <v>61</v>
      </c>
      <c r="N151">
        <f t="shared" si="4"/>
        <v>0</v>
      </c>
      <c r="O151" t="str" cm="1">
        <f t="array" ref="O151">_xlfn.IFS(C151&gt;50, "51+", C151&gt;35, "36–50", C151&gt;25, "26–35", TRUE, "18–25")</f>
        <v>18–25</v>
      </c>
    </row>
    <row r="152" spans="1:15" x14ac:dyDescent="0.3">
      <c r="A152">
        <v>1088</v>
      </c>
      <c r="B152" t="s">
        <v>163</v>
      </c>
      <c r="C152">
        <v>21</v>
      </c>
      <c r="D152" t="s">
        <v>55</v>
      </c>
      <c r="E152" t="s">
        <v>84</v>
      </c>
      <c r="F152" t="s">
        <v>886</v>
      </c>
      <c r="G152">
        <v>1</v>
      </c>
      <c r="H152" t="s">
        <v>76</v>
      </c>
      <c r="I152" s="4">
        <v>45384</v>
      </c>
      <c r="J152" s="4">
        <v>45365</v>
      </c>
      <c r="K152" t="s">
        <v>914</v>
      </c>
      <c r="L152" t="s">
        <v>909</v>
      </c>
      <c r="M152">
        <f>Table1_4[[#This Row],[Last_Purchase_Date]]-Table1_4[[#This Row],[Join_Date]]</f>
        <v>-19</v>
      </c>
      <c r="N152">
        <f t="shared" si="4"/>
        <v>0</v>
      </c>
      <c r="O152" t="str" cm="1">
        <f t="array" ref="O152">_xlfn.IFS(C152&gt;50, "51+", C152&gt;35, "36–50", C152&gt;25, "26–35", TRUE, "18–25")</f>
        <v>18–25</v>
      </c>
    </row>
    <row r="153" spans="1:15" x14ac:dyDescent="0.3">
      <c r="A153">
        <v>1238</v>
      </c>
      <c r="B153" t="s">
        <v>107</v>
      </c>
      <c r="C153">
        <v>21</v>
      </c>
      <c r="D153" t="s">
        <v>55</v>
      </c>
      <c r="E153" t="s">
        <v>25</v>
      </c>
      <c r="F153" t="s">
        <v>887</v>
      </c>
      <c r="G153">
        <v>5</v>
      </c>
      <c r="H153" t="s">
        <v>908</v>
      </c>
      <c r="I153" s="4">
        <v>45329</v>
      </c>
      <c r="J153" s="4">
        <v>45409</v>
      </c>
      <c r="K153" t="s">
        <v>40</v>
      </c>
      <c r="L153" t="s">
        <v>909</v>
      </c>
      <c r="M153">
        <f>Table1_4[[#This Row],[Last_Purchase_Date]]-Table1_4[[#This Row],[Join_Date]]</f>
        <v>80</v>
      </c>
      <c r="N153">
        <f t="shared" si="4"/>
        <v>1</v>
      </c>
      <c r="O153" t="str" cm="1">
        <f t="array" ref="O153">_xlfn.IFS(C153&gt;50, "51+", C153&gt;35, "36–50", C153&gt;25, "26–35", TRUE, "18–25")</f>
        <v>18–25</v>
      </c>
    </row>
    <row r="154" spans="1:15" x14ac:dyDescent="0.3">
      <c r="A154">
        <v>1097</v>
      </c>
      <c r="B154" t="s">
        <v>22</v>
      </c>
      <c r="C154">
        <v>18</v>
      </c>
      <c r="D154" t="s">
        <v>55</v>
      </c>
      <c r="E154" t="s">
        <v>84</v>
      </c>
      <c r="F154" t="s">
        <v>890</v>
      </c>
      <c r="G154">
        <v>4</v>
      </c>
      <c r="H154" t="s">
        <v>908</v>
      </c>
      <c r="I154" s="4">
        <v>45462</v>
      </c>
      <c r="J154" s="4">
        <v>45407</v>
      </c>
      <c r="K154" t="s">
        <v>40</v>
      </c>
      <c r="L154" t="s">
        <v>912</v>
      </c>
      <c r="M154">
        <f>Table1_4[[#This Row],[Last_Purchase_Date]]-Table1_4[[#This Row],[Join_Date]]</f>
        <v>-55</v>
      </c>
      <c r="N154">
        <f t="shared" si="4"/>
        <v>1</v>
      </c>
      <c r="O154" t="str" cm="1">
        <f t="array" ref="O154">_xlfn.IFS(C154&gt;50, "51+", C154&gt;35, "36–50", C154&gt;25, "26–35", TRUE, "18–25")</f>
        <v>18–25</v>
      </c>
    </row>
    <row r="155" spans="1:15" x14ac:dyDescent="0.3">
      <c r="A155">
        <v>1050</v>
      </c>
      <c r="B155" t="s">
        <v>136</v>
      </c>
      <c r="C155">
        <v>19</v>
      </c>
      <c r="D155" t="s">
        <v>24</v>
      </c>
      <c r="E155" t="s">
        <v>25</v>
      </c>
      <c r="F155" t="s">
        <v>891</v>
      </c>
      <c r="G155">
        <v>5</v>
      </c>
      <c r="H155" t="s">
        <v>908</v>
      </c>
      <c r="I155" s="4">
        <v>45450</v>
      </c>
      <c r="J155" s="4">
        <v>45387</v>
      </c>
      <c r="K155" t="s">
        <v>40</v>
      </c>
      <c r="L155" t="s">
        <v>913</v>
      </c>
      <c r="M155">
        <f>Table1_4[[#This Row],[Last_Purchase_Date]]-Table1_4[[#This Row],[Join_Date]]</f>
        <v>-63</v>
      </c>
      <c r="N155">
        <f t="shared" si="4"/>
        <v>1</v>
      </c>
      <c r="O155" t="str" cm="1">
        <f t="array" ref="O155">_xlfn.IFS(C155&gt;50, "51+", C155&gt;35, "36–50", C155&gt;25, "26–35", TRUE, "18–25")</f>
        <v>18–25</v>
      </c>
    </row>
    <row r="156" spans="1:15" x14ac:dyDescent="0.3">
      <c r="A156">
        <v>1357</v>
      </c>
      <c r="B156" t="s">
        <v>117</v>
      </c>
      <c r="C156">
        <v>25</v>
      </c>
      <c r="D156" t="s">
        <v>24</v>
      </c>
      <c r="E156" t="s">
        <v>84</v>
      </c>
      <c r="F156" t="s">
        <v>892</v>
      </c>
      <c r="G156">
        <v>1</v>
      </c>
      <c r="H156" t="s">
        <v>76</v>
      </c>
      <c r="I156" s="4">
        <v>45313</v>
      </c>
      <c r="J156" s="4">
        <v>45408</v>
      </c>
      <c r="K156" t="s">
        <v>69</v>
      </c>
      <c r="L156" t="s">
        <v>912</v>
      </c>
      <c r="M156">
        <f>Table1_4[[#This Row],[Last_Purchase_Date]]-Table1_4[[#This Row],[Join_Date]]</f>
        <v>95</v>
      </c>
      <c r="N156">
        <f t="shared" si="4"/>
        <v>0</v>
      </c>
      <c r="O156" t="str" cm="1">
        <f t="array" ref="O156">_xlfn.IFS(C156&gt;50, "51+", C156&gt;35, "36–50", C156&gt;25, "26–35", TRUE, "18–25")</f>
        <v>18–25</v>
      </c>
    </row>
    <row r="157" spans="1:15" x14ac:dyDescent="0.3">
      <c r="A157">
        <v>1146</v>
      </c>
      <c r="B157" t="s">
        <v>32</v>
      </c>
      <c r="C157">
        <v>21</v>
      </c>
      <c r="D157" t="s">
        <v>55</v>
      </c>
      <c r="E157" t="s">
        <v>25</v>
      </c>
      <c r="F157" t="s">
        <v>894</v>
      </c>
      <c r="G157">
        <v>2</v>
      </c>
      <c r="H157" t="s">
        <v>28</v>
      </c>
      <c r="I157" s="4">
        <v>45398</v>
      </c>
      <c r="J157" s="4">
        <v>45354</v>
      </c>
      <c r="K157" t="s">
        <v>40</v>
      </c>
      <c r="L157" t="s">
        <v>910</v>
      </c>
      <c r="M157">
        <f>Table1_4[[#This Row],[Last_Purchase_Date]]-Table1_4[[#This Row],[Join_Date]]</f>
        <v>-44</v>
      </c>
      <c r="N157">
        <f t="shared" si="4"/>
        <v>1</v>
      </c>
      <c r="O157" t="str" cm="1">
        <f t="array" ref="O157">_xlfn.IFS(C157&gt;50, "51+", C157&gt;35, "36–50", C157&gt;25, "26–35", TRUE, "18–25")</f>
        <v>18–25</v>
      </c>
    </row>
    <row r="158" spans="1:15" x14ac:dyDescent="0.3">
      <c r="A158">
        <v>1045</v>
      </c>
      <c r="B158" t="s">
        <v>22</v>
      </c>
      <c r="C158">
        <v>0</v>
      </c>
      <c r="D158" t="s">
        <v>55</v>
      </c>
      <c r="E158" t="s">
        <v>156</v>
      </c>
      <c r="F158" t="s">
        <v>896</v>
      </c>
      <c r="G158">
        <v>5</v>
      </c>
      <c r="H158" t="s">
        <v>17</v>
      </c>
      <c r="I158" s="4">
        <v>45332</v>
      </c>
      <c r="J158" s="4">
        <v>45314</v>
      </c>
      <c r="K158" t="s">
        <v>69</v>
      </c>
      <c r="L158" t="s">
        <v>913</v>
      </c>
      <c r="M158">
        <f>Table1_4[[#This Row],[Last_Purchase_Date]]-Table1_4[[#This Row],[Join_Date]]</f>
        <v>-18</v>
      </c>
      <c r="N158">
        <f t="shared" si="4"/>
        <v>0</v>
      </c>
      <c r="O158" t="str" cm="1">
        <f t="array" ref="O158">_xlfn.IFS(C158&gt;50, "51+", C158&gt;35, "36–50", C158&gt;25, "26–35", TRUE, "18–25")</f>
        <v>18–25</v>
      </c>
    </row>
    <row r="159" spans="1:15" x14ac:dyDescent="0.3">
      <c r="A159">
        <v>1018</v>
      </c>
      <c r="B159" t="s">
        <v>120</v>
      </c>
      <c r="C159">
        <v>20</v>
      </c>
      <c r="D159" t="s">
        <v>24</v>
      </c>
      <c r="E159" t="s">
        <v>156</v>
      </c>
      <c r="F159" t="s">
        <v>899</v>
      </c>
      <c r="G159">
        <v>5</v>
      </c>
      <c r="H159" t="s">
        <v>28</v>
      </c>
      <c r="I159" s="4">
        <v>45415</v>
      </c>
      <c r="J159" s="4">
        <v>45384</v>
      </c>
      <c r="K159" t="s">
        <v>40</v>
      </c>
      <c r="L159" t="s">
        <v>913</v>
      </c>
      <c r="M159">
        <f>Table1_4[[#This Row],[Last_Purchase_Date]]-Table1_4[[#This Row],[Join_Date]]</f>
        <v>-31</v>
      </c>
      <c r="N159">
        <f t="shared" si="4"/>
        <v>1</v>
      </c>
      <c r="O159" t="str" cm="1">
        <f t="array" ref="O159">_xlfn.IFS(C159&gt;50, "51+", C159&gt;35, "36–50", C159&gt;25, "26–35", TRUE, "18–25")</f>
        <v>18–25</v>
      </c>
    </row>
    <row r="160" spans="1:15" x14ac:dyDescent="0.3">
      <c r="A160">
        <v>1475</v>
      </c>
      <c r="B160" t="s">
        <v>22</v>
      </c>
      <c r="C160">
        <v>23</v>
      </c>
      <c r="D160" t="s">
        <v>55</v>
      </c>
      <c r="E160" t="s">
        <v>167</v>
      </c>
      <c r="F160" t="s">
        <v>900</v>
      </c>
      <c r="G160">
        <v>4</v>
      </c>
      <c r="H160" t="s">
        <v>908</v>
      </c>
      <c r="I160" s="4">
        <v>45316</v>
      </c>
      <c r="J160" s="4">
        <v>45399</v>
      </c>
      <c r="K160" t="s">
        <v>69</v>
      </c>
      <c r="L160" t="s">
        <v>910</v>
      </c>
      <c r="M160">
        <f>Table1_4[[#This Row],[Last_Purchase_Date]]-Table1_4[[#This Row],[Join_Date]]</f>
        <v>83</v>
      </c>
      <c r="N160">
        <f t="shared" si="4"/>
        <v>0</v>
      </c>
      <c r="O160" t="str" cm="1">
        <f t="array" ref="O160">_xlfn.IFS(C160&gt;50, "51+", C160&gt;35, "36–50", C160&gt;25, "26–35", TRUE, "18–25")</f>
        <v>18–25</v>
      </c>
    </row>
    <row r="161" spans="1:15" x14ac:dyDescent="0.3">
      <c r="A161">
        <v>1174</v>
      </c>
      <c r="B161" t="s">
        <v>22</v>
      </c>
      <c r="C161">
        <v>0</v>
      </c>
      <c r="D161" t="s">
        <v>55</v>
      </c>
      <c r="E161" t="s">
        <v>25</v>
      </c>
      <c r="F161" t="s">
        <v>901</v>
      </c>
      <c r="G161">
        <v>0</v>
      </c>
      <c r="H161" t="s">
        <v>17</v>
      </c>
      <c r="I161" s="4">
        <v>45390</v>
      </c>
      <c r="J161" s="4">
        <v>45400</v>
      </c>
      <c r="K161" t="s">
        <v>914</v>
      </c>
      <c r="L161" t="s">
        <v>909</v>
      </c>
      <c r="M161">
        <f>Table1_4[[#This Row],[Last_Purchase_Date]]-Table1_4[[#This Row],[Join_Date]]</f>
        <v>10</v>
      </c>
      <c r="N161">
        <f t="shared" si="4"/>
        <v>0</v>
      </c>
      <c r="O161" t="str" cm="1">
        <f t="array" ref="O161">_xlfn.IFS(C161&gt;50, "51+", C161&gt;35, "36–50", C161&gt;25, "26–35", TRUE, "18–25")</f>
        <v>18–25</v>
      </c>
    </row>
    <row r="162" spans="1:15" x14ac:dyDescent="0.3">
      <c r="A162">
        <v>1438</v>
      </c>
      <c r="B162" t="s">
        <v>12</v>
      </c>
      <c r="C162">
        <v>19</v>
      </c>
      <c r="D162" t="s">
        <v>659</v>
      </c>
      <c r="E162" t="s">
        <v>84</v>
      </c>
      <c r="F162" t="s">
        <v>902</v>
      </c>
      <c r="G162">
        <v>3</v>
      </c>
      <c r="H162" t="s">
        <v>17</v>
      </c>
      <c r="I162" s="4">
        <v>45465</v>
      </c>
      <c r="J162" s="4">
        <v>45509</v>
      </c>
      <c r="K162" t="s">
        <v>40</v>
      </c>
      <c r="L162" t="s">
        <v>910</v>
      </c>
      <c r="M162">
        <f>Table1_4[[#This Row],[Last_Purchase_Date]]-Table1_4[[#This Row],[Join_Date]]</f>
        <v>44</v>
      </c>
      <c r="N162">
        <f t="shared" ref="N162:N174" si="5">IF(K162="Active",1,0)</f>
        <v>1</v>
      </c>
      <c r="O162" t="str" cm="1">
        <f t="array" ref="O162">_xlfn.IFS(C162&gt;50, "51+", C162&gt;35, "36–50", C162&gt;25, "26–35", TRUE, "18–25")</f>
        <v>18–25</v>
      </c>
    </row>
    <row r="163" spans="1:15" x14ac:dyDescent="0.3">
      <c r="A163">
        <v>1073</v>
      </c>
      <c r="B163" t="s">
        <v>107</v>
      </c>
      <c r="C163">
        <v>22</v>
      </c>
      <c r="D163" t="s">
        <v>24</v>
      </c>
      <c r="E163" t="s">
        <v>156</v>
      </c>
      <c r="F163" t="s">
        <v>903</v>
      </c>
      <c r="G163">
        <v>2</v>
      </c>
      <c r="H163" t="s">
        <v>17</v>
      </c>
      <c r="I163" s="4">
        <v>45358</v>
      </c>
      <c r="J163" s="4">
        <v>45293</v>
      </c>
      <c r="K163" t="s">
        <v>69</v>
      </c>
      <c r="L163" t="s">
        <v>909</v>
      </c>
      <c r="M163">
        <f>Table1_4[[#This Row],[Last_Purchase_Date]]-Table1_4[[#This Row],[Join_Date]]</f>
        <v>-65</v>
      </c>
      <c r="N163">
        <f t="shared" si="5"/>
        <v>0</v>
      </c>
      <c r="O163" t="str" cm="1">
        <f t="array" ref="O163">_xlfn.IFS(C163&gt;50, "51+", C163&gt;35, "36–50", C163&gt;25, "26–35", TRUE, "18–25")</f>
        <v>18–25</v>
      </c>
    </row>
    <row r="164" spans="1:15" x14ac:dyDescent="0.3">
      <c r="A164">
        <v>1465</v>
      </c>
      <c r="B164" t="s">
        <v>47</v>
      </c>
      <c r="C164">
        <v>25</v>
      </c>
      <c r="D164" t="s">
        <v>659</v>
      </c>
      <c r="E164" t="s">
        <v>167</v>
      </c>
      <c r="F164" t="s">
        <v>904</v>
      </c>
      <c r="G164">
        <v>5</v>
      </c>
      <c r="H164" t="s">
        <v>908</v>
      </c>
      <c r="I164" s="4">
        <v>45343</v>
      </c>
      <c r="J164" s="4">
        <v>45364</v>
      </c>
      <c r="K164" t="s">
        <v>69</v>
      </c>
      <c r="L164" t="s">
        <v>912</v>
      </c>
      <c r="M164">
        <f>Table1_4[[#This Row],[Last_Purchase_Date]]-Table1_4[[#This Row],[Join_Date]]</f>
        <v>21</v>
      </c>
      <c r="N164">
        <f t="shared" si="5"/>
        <v>0</v>
      </c>
      <c r="O164" t="str" cm="1">
        <f t="array" ref="O164">_xlfn.IFS(C164&gt;50, "51+", C164&gt;35, "36–50", C164&gt;25, "26–35", TRUE, "18–25")</f>
        <v>18–25</v>
      </c>
    </row>
    <row r="165" spans="1:15" x14ac:dyDescent="0.3">
      <c r="A165">
        <v>1195</v>
      </c>
      <c r="B165" t="s">
        <v>107</v>
      </c>
      <c r="C165">
        <v>25</v>
      </c>
      <c r="D165" t="s">
        <v>24</v>
      </c>
      <c r="E165" t="s">
        <v>84</v>
      </c>
      <c r="F165" t="s">
        <v>906</v>
      </c>
      <c r="G165">
        <v>3</v>
      </c>
      <c r="H165" t="s">
        <v>908</v>
      </c>
      <c r="I165" s="4">
        <v>45348</v>
      </c>
      <c r="J165" s="4">
        <v>45345</v>
      </c>
      <c r="K165" t="s">
        <v>40</v>
      </c>
      <c r="L165" t="s">
        <v>911</v>
      </c>
      <c r="M165">
        <f>Table1_4[[#This Row],[Last_Purchase_Date]]-Table1_4[[#This Row],[Join_Date]]</f>
        <v>-3</v>
      </c>
      <c r="N165">
        <f t="shared" si="5"/>
        <v>1</v>
      </c>
      <c r="O165" t="str" cm="1">
        <f t="array" ref="O165">_xlfn.IFS(C165&gt;50, "51+", C165&gt;35, "36–50", C165&gt;25, "26–35", TRUE, "18–25")</f>
        <v>18–25</v>
      </c>
    </row>
    <row r="166" spans="1:15" x14ac:dyDescent="0.3">
      <c r="A166">
        <v>1139</v>
      </c>
      <c r="B166" t="s">
        <v>155</v>
      </c>
      <c r="C166">
        <v>22</v>
      </c>
      <c r="D166" t="s">
        <v>55</v>
      </c>
      <c r="E166" t="s">
        <v>167</v>
      </c>
      <c r="F166" t="s">
        <v>907</v>
      </c>
      <c r="G166">
        <v>5</v>
      </c>
      <c r="H166" t="s">
        <v>908</v>
      </c>
      <c r="I166" s="4">
        <v>45314</v>
      </c>
      <c r="J166" s="4">
        <v>45309</v>
      </c>
      <c r="K166" t="s">
        <v>20</v>
      </c>
      <c r="L166" t="s">
        <v>910</v>
      </c>
      <c r="M166">
        <f>Table1_4[[#This Row],[Last_Purchase_Date]]-Table1_4[[#This Row],[Join_Date]]</f>
        <v>-5</v>
      </c>
      <c r="N166">
        <f t="shared" si="5"/>
        <v>0</v>
      </c>
      <c r="O166" t="str" cm="1">
        <f t="array" ref="O166">_xlfn.IFS(C166&gt;50, "51+", C166&gt;35, "36–50", C166&gt;25, "26–35", TRUE, "18–25")</f>
        <v>18–25</v>
      </c>
    </row>
    <row r="167" spans="1:15" x14ac:dyDescent="0.3">
      <c r="A167">
        <v>1322</v>
      </c>
      <c r="B167" t="s">
        <v>32</v>
      </c>
      <c r="C167">
        <v>25</v>
      </c>
      <c r="D167" t="s">
        <v>659</v>
      </c>
      <c r="E167" t="s">
        <v>156</v>
      </c>
      <c r="F167" t="s">
        <v>660</v>
      </c>
      <c r="G167">
        <v>2</v>
      </c>
      <c r="H167" t="s">
        <v>28</v>
      </c>
      <c r="I167" s="4">
        <v>45354</v>
      </c>
      <c r="J167" s="4">
        <v>45334</v>
      </c>
      <c r="K167" t="s">
        <v>40</v>
      </c>
      <c r="L167" t="s">
        <v>909</v>
      </c>
      <c r="M167">
        <f>Table1_4[[#This Row],[Last_Purchase_Date]]-Table1_4[[#This Row],[Join_Date]]</f>
        <v>-20</v>
      </c>
      <c r="N167">
        <f t="shared" si="5"/>
        <v>1</v>
      </c>
      <c r="O167" t="str" cm="1">
        <f t="array" ref="O167">_xlfn.IFS(C167&gt;50, "51+", C167&gt;35, "36–50", C167&gt;25, "26–35", TRUE, "18–25")</f>
        <v>18–25</v>
      </c>
    </row>
    <row r="168" spans="1:15" x14ac:dyDescent="0.3">
      <c r="A168">
        <v>1476</v>
      </c>
      <c r="B168" t="s">
        <v>12</v>
      </c>
      <c r="C168">
        <v>21</v>
      </c>
      <c r="D168" t="s">
        <v>55</v>
      </c>
      <c r="E168" t="s">
        <v>25</v>
      </c>
      <c r="F168" t="s">
        <v>661</v>
      </c>
      <c r="G168">
        <v>0</v>
      </c>
      <c r="H168" t="s">
        <v>17</v>
      </c>
      <c r="I168" s="4">
        <v>45426</v>
      </c>
      <c r="J168" s="4">
        <v>45508</v>
      </c>
      <c r="K168" t="s">
        <v>69</v>
      </c>
      <c r="L168" t="s">
        <v>909</v>
      </c>
      <c r="M168">
        <f>Table1_4[[#This Row],[Last_Purchase_Date]]-Table1_4[[#This Row],[Join_Date]]</f>
        <v>82</v>
      </c>
      <c r="N168">
        <f t="shared" si="5"/>
        <v>0</v>
      </c>
      <c r="O168" t="str" cm="1">
        <f t="array" ref="O168">_xlfn.IFS(C168&gt;50, "51+", C168&gt;35, "36–50", C168&gt;25, "26–35", TRUE, "18–25")</f>
        <v>18–25</v>
      </c>
    </row>
    <row r="169" spans="1:15" x14ac:dyDescent="0.3">
      <c r="A169">
        <v>1098</v>
      </c>
      <c r="B169" t="s">
        <v>47</v>
      </c>
      <c r="C169">
        <v>19</v>
      </c>
      <c r="D169" t="s">
        <v>659</v>
      </c>
      <c r="E169" t="s">
        <v>25</v>
      </c>
      <c r="F169" t="s">
        <v>662</v>
      </c>
      <c r="G169">
        <v>1</v>
      </c>
      <c r="H169" t="s">
        <v>17</v>
      </c>
      <c r="I169" s="4">
        <v>45300</v>
      </c>
      <c r="J169" s="4">
        <v>45319</v>
      </c>
      <c r="K169" t="s">
        <v>40</v>
      </c>
      <c r="L169" t="s">
        <v>910</v>
      </c>
      <c r="M169">
        <f>Table1_4[[#This Row],[Last_Purchase_Date]]-Table1_4[[#This Row],[Join_Date]]</f>
        <v>19</v>
      </c>
      <c r="N169">
        <f t="shared" si="5"/>
        <v>1</v>
      </c>
      <c r="O169" t="str" cm="1">
        <f t="array" ref="O169">_xlfn.IFS(C169&gt;50, "51+", C169&gt;35, "36–50", C169&gt;25, "26–35", TRUE, "18–25")</f>
        <v>18–25</v>
      </c>
    </row>
    <row r="170" spans="1:15" x14ac:dyDescent="0.3">
      <c r="A170">
        <v>1230</v>
      </c>
      <c r="B170" t="s">
        <v>12</v>
      </c>
      <c r="C170">
        <v>21</v>
      </c>
      <c r="D170" t="s">
        <v>55</v>
      </c>
      <c r="E170" t="s">
        <v>25</v>
      </c>
      <c r="F170" t="s">
        <v>663</v>
      </c>
      <c r="G170">
        <v>5</v>
      </c>
      <c r="H170" t="s">
        <v>17</v>
      </c>
      <c r="I170" s="4">
        <v>45370</v>
      </c>
      <c r="J170" s="4">
        <v>45399</v>
      </c>
      <c r="K170" t="s">
        <v>40</v>
      </c>
      <c r="L170" t="s">
        <v>911</v>
      </c>
      <c r="M170">
        <f>Table1_4[[#This Row],[Last_Purchase_Date]]-Table1_4[[#This Row],[Join_Date]]</f>
        <v>29</v>
      </c>
      <c r="N170">
        <f t="shared" si="5"/>
        <v>1</v>
      </c>
      <c r="O170" t="str" cm="1">
        <f t="array" ref="O170">_xlfn.IFS(C170&gt;50, "51+", C170&gt;35, "36–50", C170&gt;25, "26–35", TRUE, "18–25")</f>
        <v>18–25</v>
      </c>
    </row>
    <row r="171" spans="1:15" x14ac:dyDescent="0.3">
      <c r="A171">
        <v>1106</v>
      </c>
      <c r="B171" t="s">
        <v>74</v>
      </c>
      <c r="C171">
        <v>24</v>
      </c>
      <c r="D171" t="s">
        <v>24</v>
      </c>
      <c r="E171" t="s">
        <v>156</v>
      </c>
      <c r="F171" t="s">
        <v>666</v>
      </c>
      <c r="G171">
        <v>3</v>
      </c>
      <c r="H171" t="s">
        <v>76</v>
      </c>
      <c r="I171" s="4">
        <v>45316</v>
      </c>
      <c r="J171" s="4">
        <v>45317</v>
      </c>
      <c r="K171" t="s">
        <v>40</v>
      </c>
      <c r="L171" t="s">
        <v>912</v>
      </c>
      <c r="M171">
        <f>Table1_4[[#This Row],[Last_Purchase_Date]]-Table1_4[[#This Row],[Join_Date]]</f>
        <v>1</v>
      </c>
      <c r="N171">
        <f t="shared" si="5"/>
        <v>1</v>
      </c>
      <c r="O171" t="str" cm="1">
        <f t="array" ref="O171">_xlfn.IFS(C171&gt;50, "51+", C171&gt;35, "36–50", C171&gt;25, "26–35", TRUE, "18–25")</f>
        <v>18–25</v>
      </c>
    </row>
    <row r="172" spans="1:15" x14ac:dyDescent="0.3">
      <c r="A172">
        <v>1123</v>
      </c>
      <c r="B172" t="s">
        <v>22</v>
      </c>
      <c r="C172">
        <v>20</v>
      </c>
      <c r="D172" t="s">
        <v>55</v>
      </c>
      <c r="E172" t="s">
        <v>84</v>
      </c>
      <c r="F172" t="s">
        <v>667</v>
      </c>
      <c r="G172">
        <v>3</v>
      </c>
      <c r="H172" t="s">
        <v>17</v>
      </c>
      <c r="I172" s="4">
        <v>45444</v>
      </c>
      <c r="J172" s="4">
        <v>45365</v>
      </c>
      <c r="K172" t="s">
        <v>40</v>
      </c>
      <c r="L172" t="s">
        <v>909</v>
      </c>
      <c r="M172">
        <f>Table1_4[[#This Row],[Last_Purchase_Date]]-Table1_4[[#This Row],[Join_Date]]</f>
        <v>-79</v>
      </c>
      <c r="N172">
        <f t="shared" si="5"/>
        <v>1</v>
      </c>
      <c r="O172" t="str" cm="1">
        <f t="array" ref="O172">_xlfn.IFS(C172&gt;50, "51+", C172&gt;35, "36–50", C172&gt;25, "26–35", TRUE, "18–25")</f>
        <v>18–25</v>
      </c>
    </row>
    <row r="173" spans="1:15" x14ac:dyDescent="0.3">
      <c r="A173">
        <v>1214</v>
      </c>
      <c r="B173" t="s">
        <v>22</v>
      </c>
      <c r="C173">
        <v>19</v>
      </c>
      <c r="D173" t="s">
        <v>55</v>
      </c>
      <c r="E173" t="s">
        <v>84</v>
      </c>
      <c r="F173" t="s">
        <v>669</v>
      </c>
      <c r="G173">
        <v>0</v>
      </c>
      <c r="H173" t="s">
        <v>908</v>
      </c>
      <c r="I173" s="4">
        <v>45310</v>
      </c>
      <c r="J173" s="4">
        <v>45439</v>
      </c>
      <c r="K173" t="s">
        <v>40</v>
      </c>
      <c r="L173" t="s">
        <v>910</v>
      </c>
      <c r="M173">
        <f>Table1_4[[#This Row],[Last_Purchase_Date]]-Table1_4[[#This Row],[Join_Date]]</f>
        <v>129</v>
      </c>
      <c r="N173">
        <f t="shared" si="5"/>
        <v>1</v>
      </c>
      <c r="O173" t="str" cm="1">
        <f t="array" ref="O173">_xlfn.IFS(C173&gt;50, "51+", C173&gt;35, "36–50", C173&gt;25, "26–35", TRUE, "18–25")</f>
        <v>18–25</v>
      </c>
    </row>
    <row r="174" spans="1:15" x14ac:dyDescent="0.3">
      <c r="A174">
        <v>1113</v>
      </c>
      <c r="B174" t="s">
        <v>47</v>
      </c>
      <c r="C174">
        <v>18</v>
      </c>
      <c r="D174" t="s">
        <v>24</v>
      </c>
      <c r="E174" t="s">
        <v>25</v>
      </c>
      <c r="F174" t="s">
        <v>672</v>
      </c>
      <c r="G174">
        <v>1</v>
      </c>
      <c r="H174" t="s">
        <v>908</v>
      </c>
      <c r="I174" s="4">
        <v>45344</v>
      </c>
      <c r="J174" s="4">
        <v>45309</v>
      </c>
      <c r="K174" t="s">
        <v>69</v>
      </c>
      <c r="L174" t="s">
        <v>911</v>
      </c>
      <c r="M174">
        <f>Table1_4[[#This Row],[Last_Purchase_Date]]-Table1_4[[#This Row],[Join_Date]]</f>
        <v>-35</v>
      </c>
      <c r="N174">
        <f t="shared" si="5"/>
        <v>0</v>
      </c>
      <c r="O174" t="str" cm="1">
        <f t="array" ref="O174">_xlfn.IFS(C174&gt;50, "51+", C174&gt;35, "36–50", C174&gt;25, "26–35", TRUE, "18–25")</f>
        <v>18–25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8515E-09D3-4A6E-ABC7-EA2C701B2C23}">
  <dimension ref="A1:L266"/>
  <sheetViews>
    <sheetView topLeftCell="E1" workbookViewId="0">
      <selection activeCell="J1" sqref="J1:J1048576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1.44140625" style="3" bestFit="1" customWidth="1"/>
    <col min="10" max="10" width="20.33203125" style="3" bestFit="1" customWidth="1"/>
    <col min="11" max="11" width="16.5546875" bestFit="1" customWidth="1"/>
    <col min="12" max="12" width="10.441406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s="3" t="s">
        <v>8</v>
      </c>
      <c r="J1" s="3" t="s">
        <v>9</v>
      </c>
      <c r="K1" t="s">
        <v>10</v>
      </c>
      <c r="L1" t="s">
        <v>11</v>
      </c>
    </row>
    <row r="2" spans="1:12" x14ac:dyDescent="0.3">
      <c r="A2">
        <v>1365</v>
      </c>
      <c r="B2" t="s">
        <v>12</v>
      </c>
      <c r="C2">
        <v>20</v>
      </c>
      <c r="D2" t="s">
        <v>55</v>
      </c>
      <c r="E2" t="s">
        <v>167</v>
      </c>
      <c r="F2" t="s">
        <v>657</v>
      </c>
      <c r="G2">
        <v>4</v>
      </c>
      <c r="H2" t="s">
        <v>17</v>
      </c>
      <c r="I2" s="3">
        <v>45379</v>
      </c>
      <c r="J2" s="3">
        <v>45330</v>
      </c>
      <c r="K2" t="s">
        <v>20</v>
      </c>
      <c r="L2" t="s">
        <v>21</v>
      </c>
    </row>
    <row r="3" spans="1:12" x14ac:dyDescent="0.3">
      <c r="A3">
        <v>1382</v>
      </c>
      <c r="B3" t="s">
        <v>22</v>
      </c>
      <c r="C3">
        <v>0</v>
      </c>
      <c r="D3" t="s">
        <v>24</v>
      </c>
      <c r="E3" t="s">
        <v>25</v>
      </c>
      <c r="F3" t="s">
        <v>658</v>
      </c>
      <c r="G3">
        <v>5</v>
      </c>
      <c r="H3" t="s">
        <v>28</v>
      </c>
      <c r="I3" s="3">
        <v>45439</v>
      </c>
      <c r="J3" s="3">
        <v>45296</v>
      </c>
      <c r="K3" t="s">
        <v>20</v>
      </c>
      <c r="L3" t="s">
        <v>31</v>
      </c>
    </row>
    <row r="4" spans="1:12" x14ac:dyDescent="0.3">
      <c r="A4">
        <v>1322</v>
      </c>
      <c r="B4" t="s">
        <v>32</v>
      </c>
      <c r="C4">
        <v>25</v>
      </c>
      <c r="D4" t="s">
        <v>659</v>
      </c>
      <c r="E4" t="s">
        <v>156</v>
      </c>
      <c r="F4" t="s">
        <v>660</v>
      </c>
      <c r="G4">
        <v>2</v>
      </c>
      <c r="H4" t="s">
        <v>28</v>
      </c>
      <c r="I4" s="3">
        <v>45354</v>
      </c>
      <c r="J4" s="3">
        <v>45334</v>
      </c>
      <c r="K4" t="s">
        <v>40</v>
      </c>
      <c r="L4" t="s">
        <v>41</v>
      </c>
    </row>
    <row r="5" spans="1:12" x14ac:dyDescent="0.3">
      <c r="A5">
        <v>1476</v>
      </c>
      <c r="B5" t="s">
        <v>12</v>
      </c>
      <c r="C5">
        <v>21</v>
      </c>
      <c r="D5" t="s">
        <v>55</v>
      </c>
      <c r="E5" t="s">
        <v>25</v>
      </c>
      <c r="F5" t="s">
        <v>661</v>
      </c>
      <c r="G5">
        <v>0</v>
      </c>
      <c r="H5" t="s">
        <v>17</v>
      </c>
      <c r="I5" s="3">
        <v>45426</v>
      </c>
      <c r="J5" s="3">
        <v>45508</v>
      </c>
      <c r="K5" t="s">
        <v>33</v>
      </c>
      <c r="L5" t="s">
        <v>41</v>
      </c>
    </row>
    <row r="6" spans="1:12" x14ac:dyDescent="0.3">
      <c r="A6">
        <v>1098</v>
      </c>
      <c r="B6" t="s">
        <v>47</v>
      </c>
      <c r="C6">
        <v>19</v>
      </c>
      <c r="D6" t="s">
        <v>659</v>
      </c>
      <c r="E6" t="s">
        <v>25</v>
      </c>
      <c r="F6" t="s">
        <v>662</v>
      </c>
      <c r="G6">
        <v>1</v>
      </c>
      <c r="H6" t="s">
        <v>17</v>
      </c>
      <c r="I6" s="3">
        <v>45300</v>
      </c>
      <c r="J6" s="3">
        <v>45319</v>
      </c>
      <c r="K6" t="s">
        <v>53</v>
      </c>
      <c r="L6" t="s">
        <v>54</v>
      </c>
    </row>
    <row r="7" spans="1:12" x14ac:dyDescent="0.3">
      <c r="A7">
        <v>1230</v>
      </c>
      <c r="B7" t="s">
        <v>12</v>
      </c>
      <c r="C7">
        <v>21</v>
      </c>
      <c r="D7" t="s">
        <v>55</v>
      </c>
      <c r="E7" t="s">
        <v>25</v>
      </c>
      <c r="F7" t="s">
        <v>663</v>
      </c>
      <c r="G7">
        <v>5</v>
      </c>
      <c r="H7" t="s">
        <v>17</v>
      </c>
      <c r="I7" s="3">
        <v>45370</v>
      </c>
      <c r="J7" s="3">
        <v>45399</v>
      </c>
      <c r="K7" t="s">
        <v>60</v>
      </c>
      <c r="L7" t="s">
        <v>61</v>
      </c>
    </row>
    <row r="8" spans="1:12" x14ac:dyDescent="0.3">
      <c r="A8">
        <v>1017</v>
      </c>
      <c r="B8" t="s">
        <v>12</v>
      </c>
      <c r="C8">
        <v>22</v>
      </c>
      <c r="D8" t="s">
        <v>24</v>
      </c>
      <c r="E8" t="s">
        <v>84</v>
      </c>
      <c r="F8" t="s">
        <v>664</v>
      </c>
      <c r="G8">
        <v>5</v>
      </c>
      <c r="H8" t="s">
        <v>28</v>
      </c>
      <c r="I8" s="3">
        <v>45317</v>
      </c>
      <c r="J8" s="3">
        <v>45510</v>
      </c>
      <c r="K8" t="s">
        <v>53</v>
      </c>
      <c r="L8" t="s">
        <v>21</v>
      </c>
    </row>
    <row r="9" spans="1:12" x14ac:dyDescent="0.3">
      <c r="A9">
        <v>1083</v>
      </c>
      <c r="B9" t="s">
        <v>32</v>
      </c>
      <c r="C9">
        <v>21</v>
      </c>
      <c r="D9" t="s">
        <v>659</v>
      </c>
      <c r="E9" t="s">
        <v>25</v>
      </c>
      <c r="F9" t="s">
        <v>665</v>
      </c>
      <c r="G9">
        <v>3</v>
      </c>
      <c r="H9" t="s">
        <v>28</v>
      </c>
      <c r="I9" s="3">
        <v>45399</v>
      </c>
      <c r="J9" s="3">
        <v>45567</v>
      </c>
      <c r="K9" t="s">
        <v>33</v>
      </c>
      <c r="L9" t="s">
        <v>31</v>
      </c>
    </row>
    <row r="10" spans="1:12" x14ac:dyDescent="0.3">
      <c r="A10">
        <v>1106</v>
      </c>
      <c r="B10" t="s">
        <v>74</v>
      </c>
      <c r="C10">
        <v>24</v>
      </c>
      <c r="D10" t="s">
        <v>24</v>
      </c>
      <c r="E10" t="s">
        <v>156</v>
      </c>
      <c r="F10" t="s">
        <v>666</v>
      </c>
      <c r="G10">
        <v>3</v>
      </c>
      <c r="H10" t="s">
        <v>76</v>
      </c>
      <c r="I10" s="3">
        <v>45316</v>
      </c>
      <c r="J10" s="3">
        <v>45317</v>
      </c>
      <c r="K10" t="s">
        <v>40</v>
      </c>
      <c r="L10" t="s">
        <v>78</v>
      </c>
    </row>
    <row r="11" spans="1:12" x14ac:dyDescent="0.3">
      <c r="A11">
        <v>1123</v>
      </c>
      <c r="B11" t="s">
        <v>22</v>
      </c>
      <c r="C11">
        <v>20</v>
      </c>
      <c r="D11" t="s">
        <v>55</v>
      </c>
      <c r="E11" t="s">
        <v>84</v>
      </c>
      <c r="F11" t="s">
        <v>667</v>
      </c>
      <c r="G11">
        <v>3</v>
      </c>
      <c r="H11" t="s">
        <v>17</v>
      </c>
      <c r="I11" s="3">
        <v>45444</v>
      </c>
      <c r="J11" s="3">
        <v>45365</v>
      </c>
      <c r="K11" t="s">
        <v>53</v>
      </c>
      <c r="L11" t="s">
        <v>41</v>
      </c>
    </row>
    <row r="12" spans="1:12" x14ac:dyDescent="0.3">
      <c r="A12">
        <v>1057</v>
      </c>
      <c r="B12" t="s">
        <v>32</v>
      </c>
      <c r="C12">
        <v>21</v>
      </c>
      <c r="D12" t="s">
        <v>24</v>
      </c>
      <c r="E12" t="s">
        <v>84</v>
      </c>
      <c r="F12" t="s">
        <v>668</v>
      </c>
      <c r="G12">
        <v>1</v>
      </c>
      <c r="H12" t="s">
        <v>76</v>
      </c>
      <c r="I12" s="3">
        <v>45394</v>
      </c>
      <c r="J12" s="3">
        <v>45600</v>
      </c>
      <c r="K12" t="s">
        <v>53</v>
      </c>
      <c r="L12" t="s">
        <v>21</v>
      </c>
    </row>
    <row r="13" spans="1:12" x14ac:dyDescent="0.3">
      <c r="A13">
        <v>1214</v>
      </c>
      <c r="B13" t="s">
        <v>22</v>
      </c>
      <c r="C13">
        <v>19</v>
      </c>
      <c r="D13" t="s">
        <v>55</v>
      </c>
      <c r="E13" t="s">
        <v>84</v>
      </c>
      <c r="F13" t="s">
        <v>669</v>
      </c>
      <c r="G13">
        <v>0</v>
      </c>
      <c r="H13" t="s">
        <v>908</v>
      </c>
      <c r="I13" s="3">
        <v>45310</v>
      </c>
      <c r="J13" s="3">
        <v>45439</v>
      </c>
      <c r="K13" t="s">
        <v>40</v>
      </c>
      <c r="L13" t="s">
        <v>54</v>
      </c>
    </row>
    <row r="14" spans="1:12" x14ac:dyDescent="0.3">
      <c r="A14">
        <v>1225</v>
      </c>
      <c r="B14" t="s">
        <v>32</v>
      </c>
      <c r="C14">
        <v>22</v>
      </c>
      <c r="D14" t="s">
        <v>55</v>
      </c>
      <c r="E14" t="s">
        <v>25</v>
      </c>
      <c r="F14" t="s">
        <v>670</v>
      </c>
      <c r="G14">
        <v>5</v>
      </c>
      <c r="H14" t="s">
        <v>28</v>
      </c>
      <c r="I14" s="3">
        <v>45317</v>
      </c>
      <c r="J14" s="3">
        <v>45375</v>
      </c>
      <c r="K14" t="s">
        <v>96</v>
      </c>
      <c r="L14" t="s">
        <v>21</v>
      </c>
    </row>
    <row r="15" spans="1:12" x14ac:dyDescent="0.3">
      <c r="A15">
        <v>1096</v>
      </c>
      <c r="B15" t="s">
        <v>47</v>
      </c>
      <c r="C15">
        <v>19</v>
      </c>
      <c r="D15" t="s">
        <v>55</v>
      </c>
      <c r="E15" t="s">
        <v>25</v>
      </c>
      <c r="F15" t="s">
        <v>671</v>
      </c>
      <c r="G15">
        <v>5</v>
      </c>
      <c r="H15" t="s">
        <v>908</v>
      </c>
      <c r="I15" s="3">
        <v>45368</v>
      </c>
      <c r="J15" s="3">
        <v>45352</v>
      </c>
      <c r="K15" t="s">
        <v>96</v>
      </c>
      <c r="L15" t="s">
        <v>101</v>
      </c>
    </row>
    <row r="16" spans="1:12" x14ac:dyDescent="0.3">
      <c r="A16">
        <v>1113</v>
      </c>
      <c r="B16" t="s">
        <v>47</v>
      </c>
      <c r="C16">
        <v>18</v>
      </c>
      <c r="D16" t="s">
        <v>24</v>
      </c>
      <c r="E16" t="s">
        <v>25</v>
      </c>
      <c r="F16" t="s">
        <v>672</v>
      </c>
      <c r="G16">
        <v>1</v>
      </c>
      <c r="H16" t="s">
        <v>908</v>
      </c>
      <c r="I16" s="3">
        <v>45344</v>
      </c>
      <c r="J16" s="3">
        <v>45309</v>
      </c>
      <c r="K16" t="s">
        <v>33</v>
      </c>
      <c r="L16" t="s">
        <v>61</v>
      </c>
    </row>
    <row r="17" spans="1:12" x14ac:dyDescent="0.3">
      <c r="A17">
        <v>1126</v>
      </c>
      <c r="B17" t="s">
        <v>107</v>
      </c>
      <c r="C17">
        <v>20</v>
      </c>
      <c r="D17" t="s">
        <v>55</v>
      </c>
      <c r="E17" t="s">
        <v>156</v>
      </c>
      <c r="F17" t="s">
        <v>673</v>
      </c>
      <c r="G17">
        <v>5</v>
      </c>
      <c r="H17" t="s">
        <v>28</v>
      </c>
      <c r="I17" s="3">
        <v>45305</v>
      </c>
      <c r="J17" s="3">
        <v>45392</v>
      </c>
      <c r="K17" t="s">
        <v>33</v>
      </c>
      <c r="L17" t="s">
        <v>54</v>
      </c>
    </row>
    <row r="18" spans="1:12" x14ac:dyDescent="0.3">
      <c r="A18">
        <v>1047</v>
      </c>
      <c r="B18" t="s">
        <v>32</v>
      </c>
      <c r="C18">
        <v>21</v>
      </c>
      <c r="D18" t="s">
        <v>24</v>
      </c>
      <c r="E18" t="s">
        <v>84</v>
      </c>
      <c r="F18" t="s">
        <v>674</v>
      </c>
      <c r="G18">
        <v>5</v>
      </c>
      <c r="H18" t="s">
        <v>17</v>
      </c>
      <c r="I18" s="3">
        <v>45451</v>
      </c>
      <c r="J18" s="3">
        <v>45539</v>
      </c>
      <c r="K18" t="s">
        <v>40</v>
      </c>
      <c r="L18" t="s">
        <v>116</v>
      </c>
    </row>
    <row r="19" spans="1:12" x14ac:dyDescent="0.3">
      <c r="A19">
        <v>1073</v>
      </c>
      <c r="B19" t="s">
        <v>117</v>
      </c>
      <c r="C19">
        <v>25</v>
      </c>
      <c r="D19" t="s">
        <v>24</v>
      </c>
      <c r="E19" t="s">
        <v>84</v>
      </c>
      <c r="F19" t="s">
        <v>675</v>
      </c>
      <c r="G19">
        <v>1</v>
      </c>
      <c r="H19" t="s">
        <v>76</v>
      </c>
      <c r="I19" s="3">
        <v>45379</v>
      </c>
      <c r="J19" s="3">
        <v>45293</v>
      </c>
      <c r="K19" t="s">
        <v>20</v>
      </c>
      <c r="L19" t="s">
        <v>101</v>
      </c>
    </row>
    <row r="20" spans="1:12" x14ac:dyDescent="0.3">
      <c r="A20">
        <v>1032</v>
      </c>
      <c r="B20" t="s">
        <v>120</v>
      </c>
      <c r="C20">
        <v>0</v>
      </c>
      <c r="D20" t="s">
        <v>659</v>
      </c>
      <c r="E20" t="s">
        <v>25</v>
      </c>
      <c r="F20" t="s">
        <v>676</v>
      </c>
      <c r="G20">
        <v>5</v>
      </c>
      <c r="H20" t="s">
        <v>28</v>
      </c>
      <c r="I20" s="3">
        <v>45358</v>
      </c>
      <c r="J20" s="3">
        <v>45342</v>
      </c>
      <c r="K20" t="s">
        <v>53</v>
      </c>
      <c r="L20" t="s">
        <v>31</v>
      </c>
    </row>
    <row r="21" spans="1:12" x14ac:dyDescent="0.3">
      <c r="A21">
        <v>1430</v>
      </c>
      <c r="B21" t="s">
        <v>22</v>
      </c>
      <c r="C21">
        <v>22</v>
      </c>
      <c r="D21" t="s">
        <v>55</v>
      </c>
      <c r="E21" t="s">
        <v>84</v>
      </c>
      <c r="F21" t="s">
        <v>677</v>
      </c>
      <c r="G21">
        <v>5</v>
      </c>
      <c r="H21" t="s">
        <v>76</v>
      </c>
      <c r="I21" s="3">
        <v>45538</v>
      </c>
      <c r="J21" s="3">
        <v>45429</v>
      </c>
      <c r="K21" t="s">
        <v>53</v>
      </c>
      <c r="L21" t="s">
        <v>116</v>
      </c>
    </row>
    <row r="22" spans="1:12" x14ac:dyDescent="0.3">
      <c r="A22">
        <v>1224</v>
      </c>
      <c r="B22" t="s">
        <v>74</v>
      </c>
      <c r="C22">
        <v>0</v>
      </c>
      <c r="D22" t="s">
        <v>55</v>
      </c>
      <c r="E22" t="s">
        <v>25</v>
      </c>
      <c r="F22" t="s">
        <v>678</v>
      </c>
      <c r="G22">
        <v>1</v>
      </c>
      <c r="H22" t="s">
        <v>908</v>
      </c>
      <c r="I22" s="3">
        <v>45406</v>
      </c>
      <c r="J22" s="3">
        <v>45447</v>
      </c>
      <c r="K22" t="s">
        <v>96</v>
      </c>
      <c r="L22" t="s">
        <v>54</v>
      </c>
    </row>
    <row r="23" spans="1:12" x14ac:dyDescent="0.3">
      <c r="A23">
        <v>1111</v>
      </c>
      <c r="B23" t="s">
        <v>74</v>
      </c>
      <c r="C23">
        <v>0</v>
      </c>
      <c r="D23" t="s">
        <v>24</v>
      </c>
      <c r="E23" t="s">
        <v>25</v>
      </c>
      <c r="F23" t="s">
        <v>679</v>
      </c>
      <c r="G23">
        <v>2</v>
      </c>
      <c r="H23" t="s">
        <v>17</v>
      </c>
      <c r="I23" s="3">
        <v>45303</v>
      </c>
      <c r="J23" s="3">
        <v>45363</v>
      </c>
      <c r="K23" t="s">
        <v>20</v>
      </c>
      <c r="L23" t="s">
        <v>41</v>
      </c>
    </row>
    <row r="24" spans="1:12" x14ac:dyDescent="0.3">
      <c r="A24">
        <v>1409</v>
      </c>
      <c r="B24" t="s">
        <v>136</v>
      </c>
      <c r="C24">
        <v>20</v>
      </c>
      <c r="D24" t="s">
        <v>24</v>
      </c>
      <c r="E24" t="s">
        <v>84</v>
      </c>
      <c r="F24" t="s">
        <v>680</v>
      </c>
      <c r="G24">
        <v>3</v>
      </c>
      <c r="H24" t="s">
        <v>908</v>
      </c>
      <c r="I24" s="3">
        <v>45506</v>
      </c>
      <c r="J24" s="3">
        <v>45328</v>
      </c>
      <c r="K24" t="s">
        <v>20</v>
      </c>
      <c r="L24" t="s">
        <v>61</v>
      </c>
    </row>
    <row r="25" spans="1:12" x14ac:dyDescent="0.3">
      <c r="A25">
        <v>1339</v>
      </c>
      <c r="B25" t="s">
        <v>136</v>
      </c>
      <c r="C25">
        <v>25</v>
      </c>
      <c r="D25" t="s">
        <v>55</v>
      </c>
      <c r="E25" t="s">
        <v>25</v>
      </c>
      <c r="F25" t="s">
        <v>681</v>
      </c>
      <c r="G25">
        <v>4</v>
      </c>
      <c r="H25" t="s">
        <v>17</v>
      </c>
      <c r="I25" s="3">
        <v>45426</v>
      </c>
      <c r="J25" s="3">
        <v>45461</v>
      </c>
      <c r="K25" t="s">
        <v>96</v>
      </c>
      <c r="L25" t="s">
        <v>101</v>
      </c>
    </row>
    <row r="26" spans="1:12" x14ac:dyDescent="0.3">
      <c r="A26">
        <v>1334</v>
      </c>
      <c r="B26" t="s">
        <v>107</v>
      </c>
      <c r="C26">
        <v>22</v>
      </c>
      <c r="D26" t="s">
        <v>659</v>
      </c>
      <c r="E26" t="s">
        <v>167</v>
      </c>
      <c r="F26" t="s">
        <v>682</v>
      </c>
      <c r="G26">
        <v>4</v>
      </c>
      <c r="H26" t="s">
        <v>28</v>
      </c>
      <c r="I26" s="3">
        <v>45328</v>
      </c>
      <c r="J26" s="3">
        <v>45390</v>
      </c>
      <c r="K26" t="s">
        <v>96</v>
      </c>
      <c r="L26" t="s">
        <v>41</v>
      </c>
    </row>
    <row r="27" spans="1:12" x14ac:dyDescent="0.3">
      <c r="A27">
        <v>1253</v>
      </c>
      <c r="B27" t="s">
        <v>120</v>
      </c>
      <c r="C27">
        <v>25</v>
      </c>
      <c r="D27" t="s">
        <v>24</v>
      </c>
      <c r="E27" t="s">
        <v>156</v>
      </c>
      <c r="F27" t="s">
        <v>683</v>
      </c>
      <c r="G27">
        <v>2</v>
      </c>
      <c r="H27" t="s">
        <v>17</v>
      </c>
      <c r="I27" s="3">
        <v>45374</v>
      </c>
      <c r="J27" s="3">
        <v>45294</v>
      </c>
      <c r="K27" t="s">
        <v>53</v>
      </c>
      <c r="L27" t="s">
        <v>21</v>
      </c>
    </row>
    <row r="28" spans="1:12" x14ac:dyDescent="0.3">
      <c r="A28">
        <v>1420</v>
      </c>
      <c r="B28" t="s">
        <v>22</v>
      </c>
      <c r="C28">
        <v>19</v>
      </c>
      <c r="D28" t="s">
        <v>659</v>
      </c>
      <c r="E28" t="s">
        <v>25</v>
      </c>
      <c r="F28" t="s">
        <v>684</v>
      </c>
      <c r="G28">
        <v>3</v>
      </c>
      <c r="H28" t="s">
        <v>908</v>
      </c>
      <c r="I28" s="3">
        <v>45420</v>
      </c>
      <c r="J28" s="3">
        <v>45357</v>
      </c>
      <c r="K28" t="s">
        <v>33</v>
      </c>
      <c r="L28" t="s">
        <v>54</v>
      </c>
    </row>
    <row r="29" spans="1:12" x14ac:dyDescent="0.3">
      <c r="A29">
        <v>1096</v>
      </c>
      <c r="B29" t="s">
        <v>22</v>
      </c>
      <c r="C29">
        <v>0</v>
      </c>
      <c r="D29" t="s">
        <v>24</v>
      </c>
      <c r="E29" t="s">
        <v>25</v>
      </c>
      <c r="F29" t="s">
        <v>685</v>
      </c>
      <c r="G29">
        <v>5</v>
      </c>
      <c r="H29" t="s">
        <v>908</v>
      </c>
      <c r="I29" s="3">
        <v>45345</v>
      </c>
      <c r="J29" s="3">
        <v>45456</v>
      </c>
      <c r="K29" t="s">
        <v>33</v>
      </c>
      <c r="L29" t="s">
        <v>54</v>
      </c>
    </row>
    <row r="30" spans="1:12" x14ac:dyDescent="0.3">
      <c r="A30">
        <v>1208</v>
      </c>
      <c r="B30" t="s">
        <v>155</v>
      </c>
      <c r="C30">
        <v>22</v>
      </c>
      <c r="D30" t="s">
        <v>55</v>
      </c>
      <c r="E30" t="s">
        <v>156</v>
      </c>
      <c r="F30" t="s">
        <v>686</v>
      </c>
      <c r="G30">
        <v>5</v>
      </c>
      <c r="H30" t="s">
        <v>28</v>
      </c>
      <c r="I30" s="3">
        <v>45398</v>
      </c>
      <c r="J30" s="3">
        <v>45453</v>
      </c>
      <c r="K30" t="s">
        <v>33</v>
      </c>
      <c r="L30" t="s">
        <v>101</v>
      </c>
    </row>
    <row r="31" spans="1:12" x14ac:dyDescent="0.3">
      <c r="A31">
        <v>1068</v>
      </c>
      <c r="B31" t="s">
        <v>107</v>
      </c>
      <c r="C31">
        <v>0</v>
      </c>
      <c r="D31" t="s">
        <v>24</v>
      </c>
      <c r="E31" t="s">
        <v>25</v>
      </c>
      <c r="F31" t="s">
        <v>687</v>
      </c>
      <c r="G31">
        <v>3</v>
      </c>
      <c r="H31" t="s">
        <v>17</v>
      </c>
      <c r="I31" s="3">
        <v>45366</v>
      </c>
      <c r="J31" s="3">
        <v>45383</v>
      </c>
      <c r="K31" t="s">
        <v>33</v>
      </c>
      <c r="L31" t="s">
        <v>31</v>
      </c>
    </row>
    <row r="32" spans="1:12" x14ac:dyDescent="0.3">
      <c r="A32">
        <v>1305</v>
      </c>
      <c r="B32" t="s">
        <v>163</v>
      </c>
      <c r="C32">
        <v>0</v>
      </c>
      <c r="D32" t="s">
        <v>24</v>
      </c>
      <c r="E32" t="s">
        <v>156</v>
      </c>
      <c r="F32" t="s">
        <v>688</v>
      </c>
      <c r="G32">
        <v>5</v>
      </c>
      <c r="H32" t="s">
        <v>17</v>
      </c>
      <c r="I32" s="3">
        <v>45312</v>
      </c>
      <c r="J32" s="3">
        <v>45403</v>
      </c>
      <c r="K32" t="s">
        <v>33</v>
      </c>
      <c r="L32" t="s">
        <v>78</v>
      </c>
    </row>
    <row r="33" spans="1:12" x14ac:dyDescent="0.3">
      <c r="A33">
        <v>1311</v>
      </c>
      <c r="B33" t="s">
        <v>107</v>
      </c>
      <c r="C33">
        <v>0</v>
      </c>
      <c r="D33" t="s">
        <v>24</v>
      </c>
      <c r="E33" t="s">
        <v>167</v>
      </c>
      <c r="F33" t="s">
        <v>689</v>
      </c>
      <c r="G33">
        <v>5</v>
      </c>
      <c r="H33" t="s">
        <v>908</v>
      </c>
      <c r="I33" s="3">
        <v>45293</v>
      </c>
      <c r="J33" s="3">
        <v>45376</v>
      </c>
      <c r="K33" t="s">
        <v>60</v>
      </c>
      <c r="L33" t="s">
        <v>21</v>
      </c>
    </row>
    <row r="34" spans="1:12" x14ac:dyDescent="0.3">
      <c r="A34">
        <v>1451</v>
      </c>
      <c r="B34" t="s">
        <v>22</v>
      </c>
      <c r="C34">
        <v>25</v>
      </c>
      <c r="D34" t="s">
        <v>659</v>
      </c>
      <c r="E34" t="s">
        <v>156</v>
      </c>
      <c r="F34" t="s">
        <v>690</v>
      </c>
      <c r="G34">
        <v>4</v>
      </c>
      <c r="H34" t="s">
        <v>28</v>
      </c>
      <c r="I34" s="3">
        <v>45427</v>
      </c>
      <c r="J34" s="3">
        <v>45401</v>
      </c>
      <c r="K34" t="s">
        <v>40</v>
      </c>
      <c r="L34" t="s">
        <v>78</v>
      </c>
    </row>
    <row r="35" spans="1:12" x14ac:dyDescent="0.3">
      <c r="A35">
        <v>1002</v>
      </c>
      <c r="B35" t="s">
        <v>32</v>
      </c>
      <c r="C35">
        <v>22</v>
      </c>
      <c r="D35" t="s">
        <v>659</v>
      </c>
      <c r="E35" t="s">
        <v>25</v>
      </c>
      <c r="F35" t="s">
        <v>691</v>
      </c>
      <c r="G35">
        <v>4</v>
      </c>
      <c r="H35" t="s">
        <v>76</v>
      </c>
      <c r="I35" s="3">
        <v>45308</v>
      </c>
      <c r="J35" s="3">
        <v>45408</v>
      </c>
      <c r="K35" t="s">
        <v>33</v>
      </c>
      <c r="L35" t="s">
        <v>78</v>
      </c>
    </row>
    <row r="36" spans="1:12" x14ac:dyDescent="0.3">
      <c r="A36">
        <v>1340</v>
      </c>
      <c r="B36" t="s">
        <v>155</v>
      </c>
      <c r="C36">
        <v>25</v>
      </c>
      <c r="D36" t="s">
        <v>55</v>
      </c>
      <c r="E36" t="s">
        <v>167</v>
      </c>
      <c r="F36" t="s">
        <v>692</v>
      </c>
      <c r="G36">
        <v>1</v>
      </c>
      <c r="H36" t="s">
        <v>28</v>
      </c>
      <c r="I36" s="3">
        <v>45505</v>
      </c>
      <c r="J36" s="3">
        <v>45405</v>
      </c>
      <c r="K36" t="s">
        <v>53</v>
      </c>
      <c r="L36" t="s">
        <v>116</v>
      </c>
    </row>
    <row r="37" spans="1:12" x14ac:dyDescent="0.3">
      <c r="A37">
        <v>1039</v>
      </c>
      <c r="B37" t="s">
        <v>12</v>
      </c>
      <c r="C37">
        <v>19</v>
      </c>
      <c r="D37" t="s">
        <v>659</v>
      </c>
      <c r="E37" t="s">
        <v>25</v>
      </c>
      <c r="F37" t="s">
        <v>693</v>
      </c>
      <c r="G37">
        <v>4</v>
      </c>
      <c r="H37" t="s">
        <v>908</v>
      </c>
      <c r="I37" s="3">
        <v>45440</v>
      </c>
      <c r="J37" s="3">
        <v>45400</v>
      </c>
      <c r="K37" t="s">
        <v>33</v>
      </c>
      <c r="L37" t="s">
        <v>78</v>
      </c>
    </row>
    <row r="38" spans="1:12" x14ac:dyDescent="0.3">
      <c r="A38">
        <v>1322</v>
      </c>
      <c r="B38" t="s">
        <v>136</v>
      </c>
      <c r="C38">
        <v>0</v>
      </c>
      <c r="D38" t="s">
        <v>24</v>
      </c>
      <c r="E38" t="s">
        <v>84</v>
      </c>
      <c r="F38" t="s">
        <v>694</v>
      </c>
      <c r="G38">
        <v>4</v>
      </c>
      <c r="H38" t="s">
        <v>17</v>
      </c>
      <c r="I38" s="3">
        <v>45384</v>
      </c>
      <c r="J38" s="3">
        <v>45311</v>
      </c>
      <c r="K38" t="s">
        <v>53</v>
      </c>
      <c r="L38" t="s">
        <v>54</v>
      </c>
    </row>
    <row r="39" spans="1:12" x14ac:dyDescent="0.3">
      <c r="A39">
        <v>1084</v>
      </c>
      <c r="B39" t="s">
        <v>47</v>
      </c>
      <c r="C39">
        <v>18</v>
      </c>
      <c r="D39" t="s">
        <v>55</v>
      </c>
      <c r="E39" t="s">
        <v>25</v>
      </c>
      <c r="F39" t="s">
        <v>695</v>
      </c>
      <c r="G39">
        <v>4</v>
      </c>
      <c r="H39" t="s">
        <v>908</v>
      </c>
      <c r="I39" s="3">
        <v>45438</v>
      </c>
      <c r="J39" s="3">
        <v>45385</v>
      </c>
      <c r="K39" t="s">
        <v>53</v>
      </c>
      <c r="L39" t="s">
        <v>31</v>
      </c>
    </row>
    <row r="40" spans="1:12" x14ac:dyDescent="0.3">
      <c r="A40">
        <v>1047</v>
      </c>
      <c r="B40" t="s">
        <v>120</v>
      </c>
      <c r="C40">
        <v>20</v>
      </c>
      <c r="D40" t="s">
        <v>55</v>
      </c>
      <c r="E40" t="s">
        <v>25</v>
      </c>
      <c r="F40" t="s">
        <v>696</v>
      </c>
      <c r="G40">
        <v>4</v>
      </c>
      <c r="H40" t="s">
        <v>76</v>
      </c>
      <c r="I40" s="3">
        <v>45334</v>
      </c>
      <c r="J40" s="3">
        <v>45400</v>
      </c>
      <c r="K40" t="s">
        <v>60</v>
      </c>
      <c r="L40" t="s">
        <v>101</v>
      </c>
    </row>
    <row r="41" spans="1:12" x14ac:dyDescent="0.3">
      <c r="A41">
        <v>1445</v>
      </c>
      <c r="B41" t="s">
        <v>47</v>
      </c>
      <c r="C41">
        <v>25</v>
      </c>
      <c r="D41" t="s">
        <v>659</v>
      </c>
      <c r="E41" t="s">
        <v>84</v>
      </c>
      <c r="F41" t="s">
        <v>697</v>
      </c>
      <c r="G41">
        <v>4</v>
      </c>
      <c r="H41" t="s">
        <v>76</v>
      </c>
      <c r="I41" s="3">
        <v>45324</v>
      </c>
      <c r="J41" s="3">
        <v>45569</v>
      </c>
      <c r="K41" t="s">
        <v>40</v>
      </c>
      <c r="L41" t="s">
        <v>31</v>
      </c>
    </row>
    <row r="42" spans="1:12" x14ac:dyDescent="0.3">
      <c r="A42">
        <v>1176</v>
      </c>
      <c r="B42" t="s">
        <v>74</v>
      </c>
      <c r="C42">
        <v>22</v>
      </c>
      <c r="D42" t="s">
        <v>24</v>
      </c>
      <c r="E42" t="s">
        <v>25</v>
      </c>
      <c r="F42" t="s">
        <v>698</v>
      </c>
      <c r="G42">
        <v>4</v>
      </c>
      <c r="H42" t="s">
        <v>908</v>
      </c>
      <c r="I42" s="3">
        <v>45399</v>
      </c>
      <c r="J42" s="3">
        <v>45323</v>
      </c>
      <c r="K42" t="s">
        <v>33</v>
      </c>
      <c r="L42" t="s">
        <v>41</v>
      </c>
    </row>
    <row r="43" spans="1:12" x14ac:dyDescent="0.3">
      <c r="A43">
        <v>1135</v>
      </c>
      <c r="B43" t="s">
        <v>32</v>
      </c>
      <c r="C43">
        <v>21</v>
      </c>
      <c r="D43" t="s">
        <v>55</v>
      </c>
      <c r="E43" t="s">
        <v>84</v>
      </c>
      <c r="F43" t="s">
        <v>699</v>
      </c>
      <c r="G43">
        <v>1</v>
      </c>
      <c r="H43" t="s">
        <v>28</v>
      </c>
      <c r="I43" s="3">
        <v>45311</v>
      </c>
      <c r="J43" s="3">
        <v>45429</v>
      </c>
      <c r="K43" t="s">
        <v>33</v>
      </c>
      <c r="L43" t="s">
        <v>78</v>
      </c>
    </row>
    <row r="44" spans="1:12" x14ac:dyDescent="0.3">
      <c r="A44">
        <v>1361</v>
      </c>
      <c r="B44" t="s">
        <v>74</v>
      </c>
      <c r="C44">
        <v>25</v>
      </c>
      <c r="D44" t="s">
        <v>55</v>
      </c>
      <c r="E44" t="s">
        <v>25</v>
      </c>
      <c r="F44" t="s">
        <v>700</v>
      </c>
      <c r="G44">
        <v>5</v>
      </c>
      <c r="H44" t="s">
        <v>908</v>
      </c>
      <c r="I44" s="3">
        <v>45336</v>
      </c>
      <c r="J44" s="3">
        <v>45409</v>
      </c>
      <c r="K44" t="s">
        <v>53</v>
      </c>
      <c r="L44" t="s">
        <v>116</v>
      </c>
    </row>
    <row r="45" spans="1:12" x14ac:dyDescent="0.3">
      <c r="A45">
        <v>1099</v>
      </c>
      <c r="B45" t="s">
        <v>155</v>
      </c>
      <c r="C45">
        <v>21</v>
      </c>
      <c r="D45" t="s">
        <v>24</v>
      </c>
      <c r="E45" t="s">
        <v>156</v>
      </c>
      <c r="F45" t="s">
        <v>701</v>
      </c>
      <c r="G45">
        <v>1</v>
      </c>
      <c r="H45" t="s">
        <v>28</v>
      </c>
      <c r="I45" s="3">
        <v>45309</v>
      </c>
      <c r="J45" s="3">
        <v>45569</v>
      </c>
      <c r="K45" t="s">
        <v>33</v>
      </c>
      <c r="L45" t="s">
        <v>78</v>
      </c>
    </row>
    <row r="46" spans="1:12" x14ac:dyDescent="0.3">
      <c r="A46">
        <v>1380</v>
      </c>
      <c r="B46" t="s">
        <v>107</v>
      </c>
      <c r="C46">
        <v>25</v>
      </c>
      <c r="D46" t="s">
        <v>55</v>
      </c>
      <c r="E46" t="s">
        <v>156</v>
      </c>
      <c r="F46" t="s">
        <v>702</v>
      </c>
      <c r="G46">
        <v>5</v>
      </c>
      <c r="H46" t="s">
        <v>76</v>
      </c>
      <c r="I46" s="3">
        <v>45456</v>
      </c>
      <c r="J46" s="3">
        <v>45359</v>
      </c>
      <c r="K46" t="s">
        <v>53</v>
      </c>
      <c r="L46" t="s">
        <v>41</v>
      </c>
    </row>
    <row r="47" spans="1:12" x14ac:dyDescent="0.3">
      <c r="A47">
        <v>1348</v>
      </c>
      <c r="B47" t="s">
        <v>163</v>
      </c>
      <c r="C47">
        <v>18</v>
      </c>
      <c r="D47" t="s">
        <v>24</v>
      </c>
      <c r="E47" t="s">
        <v>25</v>
      </c>
      <c r="F47" t="s">
        <v>703</v>
      </c>
      <c r="G47">
        <v>4</v>
      </c>
      <c r="H47" t="s">
        <v>17</v>
      </c>
      <c r="I47" s="3">
        <v>45327</v>
      </c>
      <c r="J47" s="3">
        <v>45328</v>
      </c>
      <c r="K47" t="s">
        <v>96</v>
      </c>
      <c r="L47" t="s">
        <v>61</v>
      </c>
    </row>
    <row r="48" spans="1:12" x14ac:dyDescent="0.3">
      <c r="A48">
        <v>1180</v>
      </c>
      <c r="B48" t="s">
        <v>74</v>
      </c>
      <c r="C48">
        <v>25</v>
      </c>
      <c r="D48" t="s">
        <v>24</v>
      </c>
      <c r="E48" t="s">
        <v>167</v>
      </c>
      <c r="F48" t="s">
        <v>704</v>
      </c>
      <c r="G48">
        <v>5</v>
      </c>
      <c r="H48" t="s">
        <v>908</v>
      </c>
      <c r="I48" s="3">
        <v>45429</v>
      </c>
      <c r="J48" s="3">
        <v>45367</v>
      </c>
      <c r="K48" t="s">
        <v>96</v>
      </c>
      <c r="L48" t="s">
        <v>61</v>
      </c>
    </row>
    <row r="49" spans="1:12" x14ac:dyDescent="0.3">
      <c r="A49">
        <v>1358</v>
      </c>
      <c r="B49" t="s">
        <v>107</v>
      </c>
      <c r="C49">
        <v>24</v>
      </c>
      <c r="D49" t="s">
        <v>24</v>
      </c>
      <c r="E49" t="s">
        <v>84</v>
      </c>
      <c r="F49" t="s">
        <v>705</v>
      </c>
      <c r="G49">
        <v>1</v>
      </c>
      <c r="H49" t="s">
        <v>17</v>
      </c>
      <c r="I49" s="3">
        <v>45317</v>
      </c>
      <c r="J49" s="3">
        <v>45295</v>
      </c>
      <c r="K49" t="s">
        <v>53</v>
      </c>
      <c r="L49" t="s">
        <v>101</v>
      </c>
    </row>
    <row r="50" spans="1:12" x14ac:dyDescent="0.3">
      <c r="A50">
        <v>1353</v>
      </c>
      <c r="B50" t="s">
        <v>22</v>
      </c>
      <c r="C50">
        <v>19</v>
      </c>
      <c r="D50" t="s">
        <v>24</v>
      </c>
      <c r="E50" t="s">
        <v>84</v>
      </c>
      <c r="F50" t="s">
        <v>706</v>
      </c>
      <c r="G50">
        <v>3</v>
      </c>
      <c r="H50" t="s">
        <v>17</v>
      </c>
      <c r="I50" s="3">
        <v>45295</v>
      </c>
      <c r="J50" s="3">
        <v>45327</v>
      </c>
      <c r="K50" t="s">
        <v>53</v>
      </c>
      <c r="L50" t="s">
        <v>61</v>
      </c>
    </row>
    <row r="51" spans="1:12" x14ac:dyDescent="0.3">
      <c r="A51">
        <v>1213</v>
      </c>
      <c r="B51" t="s">
        <v>163</v>
      </c>
      <c r="C51">
        <v>24</v>
      </c>
      <c r="D51" t="s">
        <v>24</v>
      </c>
      <c r="E51" t="s">
        <v>84</v>
      </c>
      <c r="F51" t="s">
        <v>707</v>
      </c>
      <c r="G51">
        <v>0</v>
      </c>
      <c r="H51" t="s">
        <v>28</v>
      </c>
      <c r="I51" s="3">
        <v>45308</v>
      </c>
      <c r="J51" s="3">
        <v>45325</v>
      </c>
      <c r="K51" t="s">
        <v>20</v>
      </c>
      <c r="L51" t="s">
        <v>78</v>
      </c>
    </row>
    <row r="52" spans="1:12" x14ac:dyDescent="0.3">
      <c r="A52">
        <v>1118</v>
      </c>
      <c r="B52" t="s">
        <v>12</v>
      </c>
      <c r="C52">
        <v>0</v>
      </c>
      <c r="D52" t="s">
        <v>24</v>
      </c>
      <c r="E52" t="s">
        <v>25</v>
      </c>
      <c r="F52" t="s">
        <v>708</v>
      </c>
      <c r="G52">
        <v>5</v>
      </c>
      <c r="H52" t="s">
        <v>908</v>
      </c>
      <c r="I52" s="3">
        <v>45383</v>
      </c>
      <c r="J52" s="3">
        <v>45449</v>
      </c>
      <c r="K52" t="s">
        <v>96</v>
      </c>
      <c r="L52" t="s">
        <v>31</v>
      </c>
    </row>
    <row r="53" spans="1:12" x14ac:dyDescent="0.3">
      <c r="A53">
        <v>1350</v>
      </c>
      <c r="B53" t="s">
        <v>155</v>
      </c>
      <c r="C53">
        <v>19</v>
      </c>
      <c r="D53" t="s">
        <v>55</v>
      </c>
      <c r="E53" t="s">
        <v>25</v>
      </c>
      <c r="F53" t="s">
        <v>709</v>
      </c>
      <c r="G53">
        <v>3</v>
      </c>
      <c r="H53" t="s">
        <v>17</v>
      </c>
      <c r="I53" s="3">
        <v>45401</v>
      </c>
      <c r="J53" s="3">
        <v>45326</v>
      </c>
      <c r="K53" t="s">
        <v>20</v>
      </c>
      <c r="L53" t="s">
        <v>21</v>
      </c>
    </row>
    <row r="54" spans="1:12" x14ac:dyDescent="0.3">
      <c r="A54">
        <v>1411</v>
      </c>
      <c r="B54" t="s">
        <v>12</v>
      </c>
      <c r="C54">
        <v>18</v>
      </c>
      <c r="D54" t="s">
        <v>55</v>
      </c>
      <c r="E54" t="s">
        <v>84</v>
      </c>
      <c r="F54" t="s">
        <v>710</v>
      </c>
      <c r="G54">
        <v>1</v>
      </c>
      <c r="H54" t="s">
        <v>908</v>
      </c>
      <c r="I54" s="3">
        <v>45337</v>
      </c>
      <c r="J54" s="3">
        <v>45387</v>
      </c>
      <c r="K54" t="s">
        <v>40</v>
      </c>
      <c r="L54" t="s">
        <v>41</v>
      </c>
    </row>
    <row r="55" spans="1:12" x14ac:dyDescent="0.3">
      <c r="A55">
        <v>1290</v>
      </c>
      <c r="B55" t="s">
        <v>22</v>
      </c>
      <c r="C55">
        <v>0</v>
      </c>
      <c r="D55" t="s">
        <v>55</v>
      </c>
      <c r="E55" t="s">
        <v>25</v>
      </c>
      <c r="F55" t="s">
        <v>711</v>
      </c>
      <c r="G55">
        <v>0</v>
      </c>
      <c r="H55" t="s">
        <v>28</v>
      </c>
      <c r="I55" s="3">
        <v>45413</v>
      </c>
      <c r="J55" s="3">
        <v>45346</v>
      </c>
      <c r="K55" t="s">
        <v>60</v>
      </c>
      <c r="L55" t="s">
        <v>78</v>
      </c>
    </row>
    <row r="56" spans="1:12" x14ac:dyDescent="0.3">
      <c r="A56">
        <v>1481</v>
      </c>
      <c r="B56" t="s">
        <v>107</v>
      </c>
      <c r="C56">
        <v>23</v>
      </c>
      <c r="D56" t="s">
        <v>55</v>
      </c>
      <c r="E56" t="s">
        <v>156</v>
      </c>
      <c r="F56" t="s">
        <v>712</v>
      </c>
      <c r="G56">
        <v>4</v>
      </c>
      <c r="H56" t="s">
        <v>17</v>
      </c>
      <c r="I56" s="3">
        <v>45450</v>
      </c>
      <c r="J56" s="3">
        <v>45299</v>
      </c>
      <c r="K56" t="s">
        <v>20</v>
      </c>
      <c r="L56" t="s">
        <v>61</v>
      </c>
    </row>
    <row r="57" spans="1:12" x14ac:dyDescent="0.3">
      <c r="A57">
        <v>1076</v>
      </c>
      <c r="B57" t="s">
        <v>120</v>
      </c>
      <c r="C57">
        <v>21</v>
      </c>
      <c r="D57" t="s">
        <v>659</v>
      </c>
      <c r="E57" t="s">
        <v>84</v>
      </c>
      <c r="F57" t="s">
        <v>713</v>
      </c>
      <c r="G57">
        <v>2</v>
      </c>
      <c r="H57" t="s">
        <v>908</v>
      </c>
      <c r="I57" s="3">
        <v>45318</v>
      </c>
      <c r="J57" s="3">
        <v>45401</v>
      </c>
      <c r="K57" t="s">
        <v>40</v>
      </c>
      <c r="L57" t="s">
        <v>61</v>
      </c>
    </row>
    <row r="58" spans="1:12" x14ac:dyDescent="0.3">
      <c r="A58">
        <v>1168</v>
      </c>
      <c r="B58" t="s">
        <v>22</v>
      </c>
      <c r="C58">
        <v>20</v>
      </c>
      <c r="D58" t="s">
        <v>659</v>
      </c>
      <c r="E58" t="s">
        <v>156</v>
      </c>
      <c r="F58" t="s">
        <v>714</v>
      </c>
      <c r="G58">
        <v>0</v>
      </c>
      <c r="H58" t="s">
        <v>908</v>
      </c>
      <c r="I58" s="3">
        <v>45336</v>
      </c>
      <c r="J58" s="3">
        <v>45597</v>
      </c>
      <c r="K58" t="s">
        <v>20</v>
      </c>
      <c r="L58" t="s">
        <v>31</v>
      </c>
    </row>
    <row r="59" spans="1:12" x14ac:dyDescent="0.3">
      <c r="A59">
        <v>1387</v>
      </c>
      <c r="B59" t="s">
        <v>47</v>
      </c>
      <c r="C59">
        <v>22</v>
      </c>
      <c r="D59" t="s">
        <v>55</v>
      </c>
      <c r="E59" t="s">
        <v>156</v>
      </c>
      <c r="F59" t="s">
        <v>715</v>
      </c>
      <c r="G59">
        <v>2</v>
      </c>
      <c r="H59" t="s">
        <v>28</v>
      </c>
      <c r="I59" s="3">
        <v>45455</v>
      </c>
      <c r="J59" s="3">
        <v>45444</v>
      </c>
      <c r="K59" t="s">
        <v>40</v>
      </c>
      <c r="L59" t="s">
        <v>61</v>
      </c>
    </row>
    <row r="60" spans="1:12" x14ac:dyDescent="0.3">
      <c r="A60">
        <v>1106</v>
      </c>
      <c r="B60" t="s">
        <v>47</v>
      </c>
      <c r="C60">
        <v>21</v>
      </c>
      <c r="D60" t="s">
        <v>24</v>
      </c>
      <c r="E60" t="s">
        <v>84</v>
      </c>
      <c r="F60" t="s">
        <v>716</v>
      </c>
      <c r="G60">
        <v>5</v>
      </c>
      <c r="H60" t="s">
        <v>908</v>
      </c>
      <c r="I60" s="3">
        <v>45386</v>
      </c>
      <c r="J60" s="3">
        <v>45348</v>
      </c>
      <c r="K60" t="s">
        <v>20</v>
      </c>
      <c r="L60" t="s">
        <v>54</v>
      </c>
    </row>
    <row r="61" spans="1:12" x14ac:dyDescent="0.3">
      <c r="A61">
        <v>1325</v>
      </c>
      <c r="B61" t="s">
        <v>47</v>
      </c>
      <c r="C61">
        <v>21</v>
      </c>
      <c r="D61" t="s">
        <v>55</v>
      </c>
      <c r="E61" t="s">
        <v>156</v>
      </c>
      <c r="F61" t="s">
        <v>717</v>
      </c>
      <c r="G61">
        <v>5</v>
      </c>
      <c r="H61" t="s">
        <v>17</v>
      </c>
      <c r="I61" s="3">
        <v>45429</v>
      </c>
      <c r="J61" s="3">
        <v>45365</v>
      </c>
      <c r="K61" t="s">
        <v>60</v>
      </c>
      <c r="L61" t="s">
        <v>61</v>
      </c>
    </row>
    <row r="62" spans="1:12" x14ac:dyDescent="0.3">
      <c r="A62">
        <v>1064</v>
      </c>
      <c r="B62" t="s">
        <v>163</v>
      </c>
      <c r="C62">
        <v>22</v>
      </c>
      <c r="D62" t="s">
        <v>659</v>
      </c>
      <c r="E62" t="s">
        <v>25</v>
      </c>
      <c r="F62" t="s">
        <v>718</v>
      </c>
      <c r="G62">
        <v>3</v>
      </c>
      <c r="H62" t="s">
        <v>76</v>
      </c>
      <c r="I62" s="3">
        <v>45444</v>
      </c>
      <c r="J62" s="3">
        <v>45476</v>
      </c>
      <c r="K62" t="s">
        <v>40</v>
      </c>
      <c r="L62" t="s">
        <v>54</v>
      </c>
    </row>
    <row r="63" spans="1:12" x14ac:dyDescent="0.3">
      <c r="A63">
        <v>1331</v>
      </c>
      <c r="B63" t="s">
        <v>74</v>
      </c>
      <c r="C63">
        <v>25</v>
      </c>
      <c r="D63" t="s">
        <v>24</v>
      </c>
      <c r="E63" t="s">
        <v>84</v>
      </c>
      <c r="F63" t="s">
        <v>719</v>
      </c>
      <c r="G63">
        <v>3</v>
      </c>
      <c r="H63" t="s">
        <v>76</v>
      </c>
      <c r="I63" s="3">
        <v>45429</v>
      </c>
      <c r="J63" s="3">
        <v>45410</v>
      </c>
      <c r="K63" t="s">
        <v>53</v>
      </c>
      <c r="L63" t="s">
        <v>41</v>
      </c>
    </row>
    <row r="64" spans="1:12" x14ac:dyDescent="0.3">
      <c r="A64">
        <v>1418</v>
      </c>
      <c r="B64" t="s">
        <v>117</v>
      </c>
      <c r="C64">
        <v>19</v>
      </c>
      <c r="D64" t="s">
        <v>55</v>
      </c>
      <c r="E64" t="s">
        <v>84</v>
      </c>
      <c r="F64" t="s">
        <v>720</v>
      </c>
      <c r="G64">
        <v>5</v>
      </c>
      <c r="H64" t="s">
        <v>28</v>
      </c>
      <c r="I64" s="3">
        <v>45427</v>
      </c>
      <c r="J64" s="3">
        <v>45402</v>
      </c>
      <c r="K64" t="s">
        <v>20</v>
      </c>
      <c r="L64" t="s">
        <v>41</v>
      </c>
    </row>
    <row r="65" spans="1:12" x14ac:dyDescent="0.3">
      <c r="A65">
        <v>1314</v>
      </c>
      <c r="B65" t="s">
        <v>47</v>
      </c>
      <c r="C65">
        <v>19</v>
      </c>
      <c r="D65" t="s">
        <v>659</v>
      </c>
      <c r="E65" t="s">
        <v>25</v>
      </c>
      <c r="F65" t="s">
        <v>721</v>
      </c>
      <c r="G65">
        <v>5</v>
      </c>
      <c r="H65" t="s">
        <v>28</v>
      </c>
      <c r="I65" s="3">
        <v>45377</v>
      </c>
      <c r="J65" s="3">
        <v>45298</v>
      </c>
      <c r="K65" t="s">
        <v>53</v>
      </c>
      <c r="L65" t="s">
        <v>41</v>
      </c>
    </row>
    <row r="66" spans="1:12" x14ac:dyDescent="0.3">
      <c r="A66">
        <v>1394</v>
      </c>
      <c r="B66" t="s">
        <v>163</v>
      </c>
      <c r="C66">
        <v>18</v>
      </c>
      <c r="D66" t="s">
        <v>24</v>
      </c>
      <c r="E66" t="s">
        <v>84</v>
      </c>
      <c r="F66" t="s">
        <v>722</v>
      </c>
      <c r="G66">
        <v>4</v>
      </c>
      <c r="H66" t="s">
        <v>28</v>
      </c>
      <c r="I66" s="3">
        <v>45628</v>
      </c>
      <c r="J66" s="3">
        <v>45300</v>
      </c>
      <c r="K66" t="s">
        <v>40</v>
      </c>
      <c r="L66" t="s">
        <v>41</v>
      </c>
    </row>
    <row r="67" spans="1:12" x14ac:dyDescent="0.3">
      <c r="A67">
        <v>1278</v>
      </c>
      <c r="B67" t="s">
        <v>74</v>
      </c>
      <c r="C67">
        <v>19</v>
      </c>
      <c r="D67" t="s">
        <v>55</v>
      </c>
      <c r="E67" t="s">
        <v>156</v>
      </c>
      <c r="F67" t="s">
        <v>723</v>
      </c>
      <c r="G67">
        <v>5</v>
      </c>
      <c r="H67" t="s">
        <v>17</v>
      </c>
      <c r="I67" s="3">
        <v>45354</v>
      </c>
      <c r="J67" s="3">
        <v>45506</v>
      </c>
      <c r="K67" t="s">
        <v>96</v>
      </c>
      <c r="L67" t="s">
        <v>54</v>
      </c>
    </row>
    <row r="68" spans="1:12" x14ac:dyDescent="0.3">
      <c r="A68">
        <v>1205</v>
      </c>
      <c r="B68" t="s">
        <v>155</v>
      </c>
      <c r="C68">
        <v>22</v>
      </c>
      <c r="D68" t="s">
        <v>55</v>
      </c>
      <c r="E68" t="s">
        <v>84</v>
      </c>
      <c r="F68" t="s">
        <v>724</v>
      </c>
      <c r="G68">
        <v>5</v>
      </c>
      <c r="H68" t="s">
        <v>17</v>
      </c>
      <c r="I68" s="3">
        <v>45372</v>
      </c>
      <c r="J68" s="3">
        <v>45339</v>
      </c>
      <c r="K68" t="s">
        <v>40</v>
      </c>
      <c r="L68" t="s">
        <v>61</v>
      </c>
    </row>
    <row r="69" spans="1:12" x14ac:dyDescent="0.3">
      <c r="A69">
        <v>1146</v>
      </c>
      <c r="B69" t="s">
        <v>117</v>
      </c>
      <c r="C69">
        <v>25</v>
      </c>
      <c r="D69" t="s">
        <v>659</v>
      </c>
      <c r="E69" t="s">
        <v>84</v>
      </c>
      <c r="F69" t="s">
        <v>725</v>
      </c>
      <c r="G69">
        <v>0</v>
      </c>
      <c r="H69" t="s">
        <v>76</v>
      </c>
      <c r="I69" s="3">
        <v>45448</v>
      </c>
      <c r="J69" s="3">
        <v>45383</v>
      </c>
      <c r="K69" t="s">
        <v>33</v>
      </c>
      <c r="L69" t="s">
        <v>116</v>
      </c>
    </row>
    <row r="70" spans="1:12" x14ac:dyDescent="0.3">
      <c r="A70">
        <v>1484</v>
      </c>
      <c r="B70" t="s">
        <v>107</v>
      </c>
      <c r="C70">
        <v>20</v>
      </c>
      <c r="D70" t="s">
        <v>55</v>
      </c>
      <c r="E70" t="s">
        <v>25</v>
      </c>
      <c r="F70" t="s">
        <v>726</v>
      </c>
      <c r="G70">
        <v>5</v>
      </c>
      <c r="H70" t="s">
        <v>17</v>
      </c>
      <c r="I70" s="3">
        <v>45376</v>
      </c>
      <c r="J70" s="3">
        <v>45444</v>
      </c>
      <c r="K70" t="s">
        <v>96</v>
      </c>
      <c r="L70" t="s">
        <v>116</v>
      </c>
    </row>
    <row r="71" spans="1:12" x14ac:dyDescent="0.3">
      <c r="A71">
        <v>1271</v>
      </c>
      <c r="B71" t="s">
        <v>22</v>
      </c>
      <c r="C71">
        <v>0</v>
      </c>
      <c r="D71" t="s">
        <v>55</v>
      </c>
      <c r="E71" t="s">
        <v>84</v>
      </c>
      <c r="F71" t="s">
        <v>727</v>
      </c>
      <c r="G71">
        <v>5</v>
      </c>
      <c r="H71" t="s">
        <v>28</v>
      </c>
      <c r="I71" s="3">
        <v>45295</v>
      </c>
      <c r="J71" s="3">
        <v>45566</v>
      </c>
      <c r="K71" t="s">
        <v>60</v>
      </c>
      <c r="L71" t="s">
        <v>116</v>
      </c>
    </row>
    <row r="72" spans="1:12" x14ac:dyDescent="0.3">
      <c r="A72">
        <v>1491</v>
      </c>
      <c r="B72" t="s">
        <v>22</v>
      </c>
      <c r="C72">
        <v>0</v>
      </c>
      <c r="D72" t="s">
        <v>659</v>
      </c>
      <c r="E72" t="s">
        <v>25</v>
      </c>
      <c r="F72" t="s">
        <v>728</v>
      </c>
      <c r="G72">
        <v>4</v>
      </c>
      <c r="H72" t="s">
        <v>28</v>
      </c>
      <c r="I72" s="3">
        <v>45414</v>
      </c>
      <c r="J72" s="3">
        <v>45353</v>
      </c>
      <c r="K72" t="s">
        <v>60</v>
      </c>
      <c r="L72" t="s">
        <v>41</v>
      </c>
    </row>
    <row r="73" spans="1:12" x14ac:dyDescent="0.3">
      <c r="A73">
        <v>1411</v>
      </c>
      <c r="B73" t="s">
        <v>22</v>
      </c>
      <c r="C73">
        <v>0</v>
      </c>
      <c r="D73" t="s">
        <v>55</v>
      </c>
      <c r="E73" t="s">
        <v>25</v>
      </c>
      <c r="F73" t="s">
        <v>729</v>
      </c>
      <c r="G73">
        <v>0</v>
      </c>
      <c r="H73" t="s">
        <v>908</v>
      </c>
      <c r="I73" s="3">
        <v>45417</v>
      </c>
      <c r="J73" s="3">
        <v>45340</v>
      </c>
      <c r="K73" t="s">
        <v>53</v>
      </c>
      <c r="L73" t="s">
        <v>61</v>
      </c>
    </row>
    <row r="74" spans="1:12" x14ac:dyDescent="0.3">
      <c r="A74">
        <v>1253</v>
      </c>
      <c r="B74" t="s">
        <v>136</v>
      </c>
      <c r="C74">
        <v>22</v>
      </c>
      <c r="D74" t="s">
        <v>659</v>
      </c>
      <c r="E74" t="s">
        <v>84</v>
      </c>
      <c r="F74" t="s">
        <v>730</v>
      </c>
      <c r="G74">
        <v>3</v>
      </c>
      <c r="H74" t="s">
        <v>28</v>
      </c>
      <c r="I74" s="3">
        <v>45332</v>
      </c>
      <c r="J74" s="3">
        <v>45352</v>
      </c>
      <c r="K74" t="s">
        <v>33</v>
      </c>
      <c r="L74" t="s">
        <v>101</v>
      </c>
    </row>
    <row r="75" spans="1:12" x14ac:dyDescent="0.3">
      <c r="A75">
        <v>1492</v>
      </c>
      <c r="B75" t="s">
        <v>12</v>
      </c>
      <c r="C75">
        <v>19</v>
      </c>
      <c r="D75" t="s">
        <v>55</v>
      </c>
      <c r="E75" t="s">
        <v>167</v>
      </c>
      <c r="F75" t="s">
        <v>731</v>
      </c>
      <c r="G75">
        <v>5</v>
      </c>
      <c r="H75" t="s">
        <v>908</v>
      </c>
      <c r="I75" s="3">
        <v>45310</v>
      </c>
      <c r="J75" s="3">
        <v>45567</v>
      </c>
      <c r="K75" t="s">
        <v>20</v>
      </c>
      <c r="L75" t="s">
        <v>21</v>
      </c>
    </row>
    <row r="76" spans="1:12" x14ac:dyDescent="0.3">
      <c r="A76">
        <v>1158</v>
      </c>
      <c r="B76" t="s">
        <v>74</v>
      </c>
      <c r="C76">
        <v>21</v>
      </c>
      <c r="D76" t="s">
        <v>659</v>
      </c>
      <c r="E76" t="s">
        <v>167</v>
      </c>
      <c r="F76" t="s">
        <v>732</v>
      </c>
      <c r="G76">
        <v>0</v>
      </c>
      <c r="H76" t="s">
        <v>17</v>
      </c>
      <c r="I76" s="3">
        <v>45379</v>
      </c>
      <c r="J76" s="3">
        <v>45471</v>
      </c>
      <c r="K76" t="s">
        <v>53</v>
      </c>
      <c r="L76" t="s">
        <v>54</v>
      </c>
    </row>
    <row r="77" spans="1:12" x14ac:dyDescent="0.3">
      <c r="A77">
        <v>1180</v>
      </c>
      <c r="B77" t="s">
        <v>22</v>
      </c>
      <c r="C77">
        <v>22</v>
      </c>
      <c r="D77" t="s">
        <v>55</v>
      </c>
      <c r="E77" t="s">
        <v>25</v>
      </c>
      <c r="F77" t="s">
        <v>733</v>
      </c>
      <c r="G77">
        <v>4</v>
      </c>
      <c r="H77" t="s">
        <v>76</v>
      </c>
      <c r="I77" s="3">
        <v>45387</v>
      </c>
      <c r="J77" s="3">
        <v>45448</v>
      </c>
      <c r="K77" t="s">
        <v>53</v>
      </c>
      <c r="L77" t="s">
        <v>116</v>
      </c>
    </row>
    <row r="78" spans="1:12" x14ac:dyDescent="0.3">
      <c r="A78">
        <v>1070</v>
      </c>
      <c r="B78" t="s">
        <v>107</v>
      </c>
      <c r="C78">
        <v>22</v>
      </c>
      <c r="D78" t="s">
        <v>24</v>
      </c>
      <c r="E78" t="s">
        <v>167</v>
      </c>
      <c r="F78" t="s">
        <v>734</v>
      </c>
      <c r="G78">
        <v>5</v>
      </c>
      <c r="H78" t="s">
        <v>17</v>
      </c>
      <c r="I78" s="3">
        <v>45304</v>
      </c>
      <c r="J78" s="3">
        <v>45477</v>
      </c>
      <c r="K78" t="s">
        <v>40</v>
      </c>
      <c r="L78" t="s">
        <v>61</v>
      </c>
    </row>
    <row r="79" spans="1:12" x14ac:dyDescent="0.3">
      <c r="A79">
        <v>1365</v>
      </c>
      <c r="B79" t="s">
        <v>22</v>
      </c>
      <c r="C79">
        <v>24</v>
      </c>
      <c r="D79" t="s">
        <v>659</v>
      </c>
      <c r="E79" t="s">
        <v>156</v>
      </c>
      <c r="F79" t="s">
        <v>735</v>
      </c>
      <c r="G79">
        <v>1</v>
      </c>
      <c r="H79" t="s">
        <v>908</v>
      </c>
      <c r="I79" s="3">
        <v>45445</v>
      </c>
      <c r="J79" s="3">
        <v>45374</v>
      </c>
      <c r="K79" t="s">
        <v>96</v>
      </c>
      <c r="L79" t="s">
        <v>41</v>
      </c>
    </row>
    <row r="80" spans="1:12" x14ac:dyDescent="0.3">
      <c r="A80">
        <v>1371</v>
      </c>
      <c r="B80" t="s">
        <v>155</v>
      </c>
      <c r="C80">
        <v>20</v>
      </c>
      <c r="D80" t="s">
        <v>24</v>
      </c>
      <c r="E80" t="s">
        <v>84</v>
      </c>
      <c r="F80" t="s">
        <v>736</v>
      </c>
      <c r="G80">
        <v>2</v>
      </c>
      <c r="H80" t="s">
        <v>76</v>
      </c>
      <c r="I80" s="3">
        <v>45373</v>
      </c>
      <c r="J80" s="3">
        <v>45465</v>
      </c>
      <c r="K80" t="s">
        <v>40</v>
      </c>
      <c r="L80" t="s">
        <v>116</v>
      </c>
    </row>
    <row r="81" spans="1:12" x14ac:dyDescent="0.3">
      <c r="A81">
        <v>1154</v>
      </c>
      <c r="B81" t="s">
        <v>136</v>
      </c>
      <c r="C81">
        <v>25</v>
      </c>
      <c r="D81" t="s">
        <v>659</v>
      </c>
      <c r="E81" t="s">
        <v>167</v>
      </c>
      <c r="F81" t="s">
        <v>737</v>
      </c>
      <c r="G81">
        <v>2</v>
      </c>
      <c r="H81" t="s">
        <v>908</v>
      </c>
      <c r="I81" s="3">
        <v>45364</v>
      </c>
      <c r="J81" s="3">
        <v>45470</v>
      </c>
      <c r="K81" t="s">
        <v>53</v>
      </c>
      <c r="L81" t="s">
        <v>21</v>
      </c>
    </row>
    <row r="82" spans="1:12" x14ac:dyDescent="0.3">
      <c r="A82">
        <v>1208</v>
      </c>
      <c r="B82" t="s">
        <v>47</v>
      </c>
      <c r="C82">
        <v>25</v>
      </c>
      <c r="D82" t="s">
        <v>659</v>
      </c>
      <c r="E82" t="s">
        <v>84</v>
      </c>
      <c r="F82" t="s">
        <v>738</v>
      </c>
      <c r="G82">
        <v>1</v>
      </c>
      <c r="H82" t="s">
        <v>28</v>
      </c>
      <c r="I82" s="3">
        <v>45342</v>
      </c>
      <c r="J82" s="3">
        <v>45369</v>
      </c>
      <c r="K82" t="s">
        <v>60</v>
      </c>
      <c r="L82" t="s">
        <v>116</v>
      </c>
    </row>
    <row r="83" spans="1:12" x14ac:dyDescent="0.3">
      <c r="A83">
        <v>1390</v>
      </c>
      <c r="B83" t="s">
        <v>47</v>
      </c>
      <c r="C83">
        <v>25</v>
      </c>
      <c r="D83" t="s">
        <v>24</v>
      </c>
      <c r="E83" t="s">
        <v>84</v>
      </c>
      <c r="F83" t="s">
        <v>739</v>
      </c>
      <c r="G83">
        <v>5</v>
      </c>
      <c r="H83" t="s">
        <v>908</v>
      </c>
      <c r="I83" s="3">
        <v>45357</v>
      </c>
      <c r="J83" s="3">
        <v>45319</v>
      </c>
      <c r="K83" t="s">
        <v>40</v>
      </c>
      <c r="L83" t="s">
        <v>61</v>
      </c>
    </row>
    <row r="84" spans="1:12" x14ac:dyDescent="0.3">
      <c r="A84">
        <v>1270</v>
      </c>
      <c r="B84" t="s">
        <v>163</v>
      </c>
      <c r="C84">
        <v>22</v>
      </c>
      <c r="D84" t="s">
        <v>659</v>
      </c>
      <c r="E84" t="s">
        <v>25</v>
      </c>
      <c r="F84" t="s">
        <v>740</v>
      </c>
      <c r="G84">
        <v>5</v>
      </c>
      <c r="H84" t="s">
        <v>28</v>
      </c>
      <c r="I84" s="3">
        <v>45319</v>
      </c>
      <c r="J84" s="3">
        <v>45421</v>
      </c>
      <c r="K84" t="s">
        <v>40</v>
      </c>
      <c r="L84" t="s">
        <v>31</v>
      </c>
    </row>
    <row r="85" spans="1:12" x14ac:dyDescent="0.3">
      <c r="A85">
        <v>1255</v>
      </c>
      <c r="B85" t="s">
        <v>74</v>
      </c>
      <c r="C85">
        <v>0</v>
      </c>
      <c r="D85" t="s">
        <v>24</v>
      </c>
      <c r="E85" t="s">
        <v>156</v>
      </c>
      <c r="F85" t="s">
        <v>741</v>
      </c>
      <c r="G85">
        <v>1</v>
      </c>
      <c r="H85" t="s">
        <v>908</v>
      </c>
      <c r="I85" s="3">
        <v>45466</v>
      </c>
      <c r="J85" s="3">
        <v>45467</v>
      </c>
      <c r="K85" t="s">
        <v>20</v>
      </c>
      <c r="L85" t="s">
        <v>54</v>
      </c>
    </row>
    <row r="86" spans="1:12" x14ac:dyDescent="0.3">
      <c r="A86">
        <v>1244</v>
      </c>
      <c r="B86" t="s">
        <v>22</v>
      </c>
      <c r="C86">
        <v>25</v>
      </c>
      <c r="D86" t="s">
        <v>659</v>
      </c>
      <c r="E86" t="s">
        <v>167</v>
      </c>
      <c r="F86" t="s">
        <v>742</v>
      </c>
      <c r="G86">
        <v>4</v>
      </c>
      <c r="H86" t="s">
        <v>28</v>
      </c>
      <c r="I86" s="3">
        <v>45359</v>
      </c>
      <c r="J86" s="3">
        <v>45356</v>
      </c>
      <c r="K86" t="s">
        <v>96</v>
      </c>
      <c r="L86" t="s">
        <v>54</v>
      </c>
    </row>
    <row r="87" spans="1:12" x14ac:dyDescent="0.3">
      <c r="A87">
        <v>1359</v>
      </c>
      <c r="B87" t="s">
        <v>107</v>
      </c>
      <c r="C87">
        <v>19</v>
      </c>
      <c r="D87" t="s">
        <v>24</v>
      </c>
      <c r="E87" t="s">
        <v>25</v>
      </c>
      <c r="F87" t="s">
        <v>743</v>
      </c>
      <c r="G87">
        <v>3</v>
      </c>
      <c r="H87" t="s">
        <v>28</v>
      </c>
      <c r="I87" s="3">
        <v>45362</v>
      </c>
      <c r="J87" s="3">
        <v>45341</v>
      </c>
      <c r="K87" t="s">
        <v>20</v>
      </c>
      <c r="L87" t="s">
        <v>41</v>
      </c>
    </row>
    <row r="88" spans="1:12" x14ac:dyDescent="0.3">
      <c r="A88">
        <v>1459</v>
      </c>
      <c r="B88" t="s">
        <v>74</v>
      </c>
      <c r="C88">
        <v>22</v>
      </c>
      <c r="D88" t="s">
        <v>24</v>
      </c>
      <c r="E88" t="s">
        <v>156</v>
      </c>
      <c r="F88" t="s">
        <v>744</v>
      </c>
      <c r="G88">
        <v>0</v>
      </c>
      <c r="H88" t="s">
        <v>28</v>
      </c>
      <c r="I88" s="3">
        <v>45328</v>
      </c>
      <c r="J88" s="3">
        <v>45333</v>
      </c>
      <c r="K88" t="s">
        <v>20</v>
      </c>
      <c r="L88" t="s">
        <v>116</v>
      </c>
    </row>
    <row r="89" spans="1:12" x14ac:dyDescent="0.3">
      <c r="A89">
        <v>1438</v>
      </c>
      <c r="B89" t="s">
        <v>74</v>
      </c>
      <c r="C89">
        <v>18</v>
      </c>
      <c r="D89" t="s">
        <v>55</v>
      </c>
      <c r="E89" t="s">
        <v>25</v>
      </c>
      <c r="F89" t="s">
        <v>745</v>
      </c>
      <c r="G89">
        <v>5</v>
      </c>
      <c r="H89" t="s">
        <v>908</v>
      </c>
      <c r="I89" s="3">
        <v>45339</v>
      </c>
      <c r="J89" s="3">
        <v>45428</v>
      </c>
      <c r="K89" t="s">
        <v>40</v>
      </c>
      <c r="L89" t="s">
        <v>101</v>
      </c>
    </row>
    <row r="90" spans="1:12" x14ac:dyDescent="0.3">
      <c r="A90">
        <v>1455</v>
      </c>
      <c r="B90" t="s">
        <v>74</v>
      </c>
      <c r="C90">
        <v>25</v>
      </c>
      <c r="D90" t="s">
        <v>55</v>
      </c>
      <c r="E90" t="s">
        <v>156</v>
      </c>
      <c r="F90" t="s">
        <v>746</v>
      </c>
      <c r="G90">
        <v>1</v>
      </c>
      <c r="H90" t="s">
        <v>28</v>
      </c>
      <c r="I90" s="3">
        <v>45399</v>
      </c>
      <c r="J90" s="3">
        <v>45348</v>
      </c>
      <c r="K90" t="s">
        <v>20</v>
      </c>
      <c r="L90" t="s">
        <v>41</v>
      </c>
    </row>
    <row r="91" spans="1:12" x14ac:dyDescent="0.3">
      <c r="A91">
        <v>1129</v>
      </c>
      <c r="B91" t="s">
        <v>107</v>
      </c>
      <c r="C91">
        <v>0</v>
      </c>
      <c r="D91" t="s">
        <v>24</v>
      </c>
      <c r="E91" t="s">
        <v>156</v>
      </c>
      <c r="F91" t="s">
        <v>747</v>
      </c>
      <c r="G91">
        <v>1</v>
      </c>
      <c r="H91" t="s">
        <v>76</v>
      </c>
      <c r="I91" s="3">
        <v>45406</v>
      </c>
      <c r="J91" s="3">
        <v>45439</v>
      </c>
      <c r="K91" t="s">
        <v>40</v>
      </c>
      <c r="L91" t="s">
        <v>61</v>
      </c>
    </row>
    <row r="92" spans="1:12" x14ac:dyDescent="0.3">
      <c r="A92">
        <v>1043</v>
      </c>
      <c r="B92" t="s">
        <v>120</v>
      </c>
      <c r="C92">
        <v>0</v>
      </c>
      <c r="D92" t="s">
        <v>24</v>
      </c>
      <c r="E92" t="s">
        <v>84</v>
      </c>
      <c r="F92" t="s">
        <v>748</v>
      </c>
      <c r="G92">
        <v>4</v>
      </c>
      <c r="H92" t="s">
        <v>908</v>
      </c>
      <c r="I92" s="3">
        <v>45445</v>
      </c>
      <c r="J92" s="3">
        <v>45364</v>
      </c>
      <c r="K92" t="s">
        <v>53</v>
      </c>
      <c r="L92" t="s">
        <v>101</v>
      </c>
    </row>
    <row r="93" spans="1:12" x14ac:dyDescent="0.3">
      <c r="A93">
        <v>1186</v>
      </c>
      <c r="B93" t="s">
        <v>120</v>
      </c>
      <c r="C93">
        <v>0</v>
      </c>
      <c r="D93" t="s">
        <v>659</v>
      </c>
      <c r="E93" t="s">
        <v>167</v>
      </c>
      <c r="F93" t="s">
        <v>749</v>
      </c>
      <c r="G93">
        <v>2</v>
      </c>
      <c r="H93" t="s">
        <v>76</v>
      </c>
      <c r="I93" s="3">
        <v>45332</v>
      </c>
      <c r="J93" s="3">
        <v>45337</v>
      </c>
      <c r="K93" t="s">
        <v>20</v>
      </c>
      <c r="L93" t="s">
        <v>78</v>
      </c>
    </row>
    <row r="94" spans="1:12" x14ac:dyDescent="0.3">
      <c r="A94">
        <v>1357</v>
      </c>
      <c r="B94" t="s">
        <v>22</v>
      </c>
      <c r="C94">
        <v>24</v>
      </c>
      <c r="D94" t="s">
        <v>55</v>
      </c>
      <c r="E94" t="s">
        <v>25</v>
      </c>
      <c r="F94" t="s">
        <v>750</v>
      </c>
      <c r="G94">
        <v>4</v>
      </c>
      <c r="H94" t="s">
        <v>28</v>
      </c>
      <c r="I94" s="3">
        <v>45366</v>
      </c>
      <c r="J94" s="3">
        <v>45395</v>
      </c>
      <c r="K94" t="s">
        <v>60</v>
      </c>
      <c r="L94" t="s">
        <v>78</v>
      </c>
    </row>
    <row r="95" spans="1:12" x14ac:dyDescent="0.3">
      <c r="A95">
        <v>1183</v>
      </c>
      <c r="B95" t="s">
        <v>163</v>
      </c>
      <c r="C95">
        <v>21</v>
      </c>
      <c r="D95" t="s">
        <v>659</v>
      </c>
      <c r="E95" t="s">
        <v>84</v>
      </c>
      <c r="F95" t="s">
        <v>751</v>
      </c>
      <c r="G95">
        <v>5</v>
      </c>
      <c r="H95" t="s">
        <v>28</v>
      </c>
      <c r="I95" s="3">
        <v>45405</v>
      </c>
      <c r="J95" s="3">
        <v>45361</v>
      </c>
      <c r="K95" t="s">
        <v>20</v>
      </c>
      <c r="L95" t="s">
        <v>78</v>
      </c>
    </row>
    <row r="96" spans="1:12" x14ac:dyDescent="0.3">
      <c r="A96">
        <v>1025</v>
      </c>
      <c r="B96" t="s">
        <v>120</v>
      </c>
      <c r="C96">
        <v>22</v>
      </c>
      <c r="D96" t="s">
        <v>55</v>
      </c>
      <c r="E96" t="s">
        <v>167</v>
      </c>
      <c r="F96" t="s">
        <v>752</v>
      </c>
      <c r="G96">
        <v>0</v>
      </c>
      <c r="H96" t="s">
        <v>17</v>
      </c>
      <c r="I96" s="3">
        <v>45368</v>
      </c>
      <c r="J96" s="3">
        <v>45428</v>
      </c>
      <c r="K96" t="s">
        <v>40</v>
      </c>
      <c r="L96" t="s">
        <v>21</v>
      </c>
    </row>
    <row r="97" spans="1:12" x14ac:dyDescent="0.3">
      <c r="A97">
        <v>1434</v>
      </c>
      <c r="B97" t="s">
        <v>136</v>
      </c>
      <c r="C97">
        <v>19</v>
      </c>
      <c r="D97" t="s">
        <v>24</v>
      </c>
      <c r="E97" t="s">
        <v>25</v>
      </c>
      <c r="F97" t="s">
        <v>753</v>
      </c>
      <c r="G97">
        <v>5</v>
      </c>
      <c r="H97" t="s">
        <v>17</v>
      </c>
      <c r="I97" s="3">
        <v>45324</v>
      </c>
      <c r="J97" s="3">
        <v>45426</v>
      </c>
      <c r="K97" t="s">
        <v>33</v>
      </c>
      <c r="L97" t="s">
        <v>116</v>
      </c>
    </row>
    <row r="98" spans="1:12" x14ac:dyDescent="0.3">
      <c r="A98">
        <v>1468</v>
      </c>
      <c r="B98" t="s">
        <v>32</v>
      </c>
      <c r="C98">
        <v>19</v>
      </c>
      <c r="D98" t="s">
        <v>55</v>
      </c>
      <c r="E98" t="s">
        <v>84</v>
      </c>
      <c r="F98" t="s">
        <v>754</v>
      </c>
      <c r="G98">
        <v>5</v>
      </c>
      <c r="H98" t="s">
        <v>908</v>
      </c>
      <c r="I98" s="3">
        <v>45296</v>
      </c>
      <c r="J98" s="3">
        <v>45437</v>
      </c>
      <c r="K98" t="s">
        <v>40</v>
      </c>
      <c r="L98" t="s">
        <v>116</v>
      </c>
    </row>
    <row r="99" spans="1:12" x14ac:dyDescent="0.3">
      <c r="A99">
        <v>1312</v>
      </c>
      <c r="B99" t="s">
        <v>12</v>
      </c>
      <c r="C99">
        <v>25</v>
      </c>
      <c r="D99" t="s">
        <v>55</v>
      </c>
      <c r="E99" t="s">
        <v>167</v>
      </c>
      <c r="F99" t="s">
        <v>755</v>
      </c>
      <c r="G99">
        <v>5</v>
      </c>
      <c r="H99" t="s">
        <v>17</v>
      </c>
      <c r="I99" s="3">
        <v>45461</v>
      </c>
      <c r="J99" s="3">
        <v>45325</v>
      </c>
      <c r="K99" t="s">
        <v>40</v>
      </c>
      <c r="L99" t="s">
        <v>41</v>
      </c>
    </row>
    <row r="100" spans="1:12" x14ac:dyDescent="0.3">
      <c r="A100">
        <v>1305</v>
      </c>
      <c r="B100" t="s">
        <v>107</v>
      </c>
      <c r="C100">
        <v>20</v>
      </c>
      <c r="D100" t="s">
        <v>24</v>
      </c>
      <c r="E100" t="s">
        <v>84</v>
      </c>
      <c r="F100" t="s">
        <v>756</v>
      </c>
      <c r="G100">
        <v>1</v>
      </c>
      <c r="H100" t="s">
        <v>908</v>
      </c>
      <c r="I100" s="3">
        <v>45433</v>
      </c>
      <c r="J100" s="3">
        <v>45471</v>
      </c>
      <c r="K100" t="s">
        <v>40</v>
      </c>
      <c r="L100" t="s">
        <v>101</v>
      </c>
    </row>
    <row r="101" spans="1:12" x14ac:dyDescent="0.3">
      <c r="A101">
        <v>1268</v>
      </c>
      <c r="B101" t="s">
        <v>136</v>
      </c>
      <c r="C101">
        <v>0</v>
      </c>
      <c r="D101" t="s">
        <v>55</v>
      </c>
      <c r="E101" t="s">
        <v>84</v>
      </c>
      <c r="F101" t="s">
        <v>757</v>
      </c>
      <c r="G101">
        <v>2</v>
      </c>
      <c r="H101" t="s">
        <v>908</v>
      </c>
      <c r="I101" s="3">
        <v>45405</v>
      </c>
      <c r="J101" s="3">
        <v>45309</v>
      </c>
      <c r="K101" t="s">
        <v>53</v>
      </c>
      <c r="L101" t="s">
        <v>101</v>
      </c>
    </row>
    <row r="102" spans="1:12" x14ac:dyDescent="0.3">
      <c r="A102">
        <v>1018</v>
      </c>
      <c r="B102" t="s">
        <v>107</v>
      </c>
      <c r="C102">
        <v>0</v>
      </c>
      <c r="D102" t="s">
        <v>659</v>
      </c>
      <c r="E102" t="s">
        <v>25</v>
      </c>
      <c r="F102" t="s">
        <v>758</v>
      </c>
      <c r="G102">
        <v>5</v>
      </c>
      <c r="H102" t="s">
        <v>28</v>
      </c>
      <c r="I102" s="3">
        <v>45431</v>
      </c>
      <c r="J102" s="3">
        <v>45388</v>
      </c>
      <c r="K102" t="s">
        <v>53</v>
      </c>
      <c r="L102" t="s">
        <v>41</v>
      </c>
    </row>
    <row r="103" spans="1:12" x14ac:dyDescent="0.3">
      <c r="A103">
        <v>1465</v>
      </c>
      <c r="B103" t="s">
        <v>120</v>
      </c>
      <c r="C103">
        <v>0</v>
      </c>
      <c r="D103" t="s">
        <v>24</v>
      </c>
      <c r="E103" t="s">
        <v>25</v>
      </c>
      <c r="F103" t="s">
        <v>759</v>
      </c>
      <c r="G103">
        <v>2</v>
      </c>
      <c r="H103" t="s">
        <v>28</v>
      </c>
      <c r="I103" s="3">
        <v>45453</v>
      </c>
      <c r="J103" s="3">
        <v>45385</v>
      </c>
      <c r="K103" t="s">
        <v>53</v>
      </c>
      <c r="L103" t="s">
        <v>31</v>
      </c>
    </row>
    <row r="104" spans="1:12" x14ac:dyDescent="0.3">
      <c r="A104">
        <v>1001</v>
      </c>
      <c r="B104" t="s">
        <v>74</v>
      </c>
      <c r="C104">
        <v>25</v>
      </c>
      <c r="D104" t="s">
        <v>659</v>
      </c>
      <c r="E104" t="s">
        <v>167</v>
      </c>
      <c r="F104" t="s">
        <v>760</v>
      </c>
      <c r="G104">
        <v>4</v>
      </c>
      <c r="H104" t="s">
        <v>28</v>
      </c>
      <c r="I104" s="3">
        <v>45354</v>
      </c>
      <c r="J104" s="3">
        <v>45397</v>
      </c>
      <c r="K104" t="s">
        <v>53</v>
      </c>
      <c r="L104" t="s">
        <v>78</v>
      </c>
    </row>
    <row r="105" spans="1:12" x14ac:dyDescent="0.3">
      <c r="A105">
        <v>1051</v>
      </c>
      <c r="B105" t="s">
        <v>163</v>
      </c>
      <c r="C105">
        <v>19</v>
      </c>
      <c r="D105" t="s">
        <v>24</v>
      </c>
      <c r="E105" t="s">
        <v>84</v>
      </c>
      <c r="F105" t="s">
        <v>761</v>
      </c>
      <c r="G105">
        <v>1</v>
      </c>
      <c r="H105" t="s">
        <v>17</v>
      </c>
      <c r="I105" s="3">
        <v>45350</v>
      </c>
      <c r="J105" s="3">
        <v>45325</v>
      </c>
      <c r="K105" t="s">
        <v>40</v>
      </c>
      <c r="L105" t="s">
        <v>61</v>
      </c>
    </row>
    <row r="106" spans="1:12" x14ac:dyDescent="0.3">
      <c r="A106">
        <v>1428</v>
      </c>
      <c r="B106" t="s">
        <v>155</v>
      </c>
      <c r="C106">
        <v>22</v>
      </c>
      <c r="D106" t="s">
        <v>24</v>
      </c>
      <c r="E106" t="s">
        <v>156</v>
      </c>
      <c r="F106" t="s">
        <v>762</v>
      </c>
      <c r="G106">
        <v>4</v>
      </c>
      <c r="H106" t="s">
        <v>28</v>
      </c>
      <c r="I106" s="3">
        <v>45354</v>
      </c>
      <c r="J106" s="3">
        <v>45456</v>
      </c>
      <c r="K106" t="s">
        <v>33</v>
      </c>
      <c r="L106" t="s">
        <v>101</v>
      </c>
    </row>
    <row r="107" spans="1:12" x14ac:dyDescent="0.3">
      <c r="A107">
        <v>1373</v>
      </c>
      <c r="B107" t="s">
        <v>12</v>
      </c>
      <c r="C107">
        <v>0</v>
      </c>
      <c r="D107" t="s">
        <v>24</v>
      </c>
      <c r="E107" t="s">
        <v>84</v>
      </c>
      <c r="F107" t="s">
        <v>763</v>
      </c>
      <c r="G107">
        <v>5</v>
      </c>
      <c r="H107" t="s">
        <v>908</v>
      </c>
      <c r="I107" s="3">
        <v>45428</v>
      </c>
      <c r="J107" s="3">
        <v>45343</v>
      </c>
      <c r="K107" t="s">
        <v>60</v>
      </c>
      <c r="L107" t="s">
        <v>116</v>
      </c>
    </row>
    <row r="108" spans="1:12" x14ac:dyDescent="0.3">
      <c r="A108">
        <v>1233</v>
      </c>
      <c r="B108" t="s">
        <v>155</v>
      </c>
      <c r="C108">
        <v>0</v>
      </c>
      <c r="D108" t="s">
        <v>55</v>
      </c>
      <c r="E108" t="s">
        <v>167</v>
      </c>
      <c r="F108" t="s">
        <v>764</v>
      </c>
      <c r="G108">
        <v>5</v>
      </c>
      <c r="H108" t="s">
        <v>908</v>
      </c>
      <c r="I108" s="3">
        <v>45396</v>
      </c>
      <c r="J108" s="3">
        <v>45406</v>
      </c>
      <c r="K108" t="s">
        <v>33</v>
      </c>
      <c r="L108" t="s">
        <v>21</v>
      </c>
    </row>
    <row r="109" spans="1:12" x14ac:dyDescent="0.3">
      <c r="A109">
        <v>1304</v>
      </c>
      <c r="B109" t="s">
        <v>74</v>
      </c>
      <c r="C109">
        <v>22</v>
      </c>
      <c r="D109" t="s">
        <v>24</v>
      </c>
      <c r="E109" t="s">
        <v>156</v>
      </c>
      <c r="F109" t="s">
        <v>765</v>
      </c>
      <c r="G109">
        <v>4</v>
      </c>
      <c r="H109" t="s">
        <v>908</v>
      </c>
      <c r="I109" s="3">
        <v>45333</v>
      </c>
      <c r="J109" s="3">
        <v>45408</v>
      </c>
      <c r="K109" t="s">
        <v>60</v>
      </c>
      <c r="L109" t="s">
        <v>101</v>
      </c>
    </row>
    <row r="110" spans="1:12" x14ac:dyDescent="0.3">
      <c r="A110">
        <v>1056</v>
      </c>
      <c r="B110" t="s">
        <v>12</v>
      </c>
      <c r="C110">
        <v>22</v>
      </c>
      <c r="D110" t="s">
        <v>24</v>
      </c>
      <c r="E110" t="s">
        <v>25</v>
      </c>
      <c r="F110" t="s">
        <v>766</v>
      </c>
      <c r="G110">
        <v>5</v>
      </c>
      <c r="H110" t="s">
        <v>908</v>
      </c>
      <c r="I110" s="3">
        <v>45571</v>
      </c>
      <c r="J110" s="3">
        <v>45598</v>
      </c>
      <c r="K110" t="s">
        <v>53</v>
      </c>
      <c r="L110" t="s">
        <v>116</v>
      </c>
    </row>
    <row r="111" spans="1:12" x14ac:dyDescent="0.3">
      <c r="A111">
        <v>1475</v>
      </c>
      <c r="B111" t="s">
        <v>74</v>
      </c>
      <c r="C111">
        <v>22</v>
      </c>
      <c r="D111" t="s">
        <v>55</v>
      </c>
      <c r="E111" t="s">
        <v>25</v>
      </c>
      <c r="F111" t="s">
        <v>767</v>
      </c>
      <c r="G111">
        <v>0</v>
      </c>
      <c r="H111" t="s">
        <v>28</v>
      </c>
      <c r="I111" s="3">
        <v>45426</v>
      </c>
      <c r="J111" s="3">
        <v>45312</v>
      </c>
      <c r="K111" t="s">
        <v>20</v>
      </c>
      <c r="L111" t="s">
        <v>78</v>
      </c>
    </row>
    <row r="112" spans="1:12" x14ac:dyDescent="0.3">
      <c r="A112">
        <v>1433</v>
      </c>
      <c r="B112" t="s">
        <v>47</v>
      </c>
      <c r="C112">
        <v>25</v>
      </c>
      <c r="D112" t="s">
        <v>24</v>
      </c>
      <c r="E112" t="s">
        <v>156</v>
      </c>
      <c r="F112" t="s">
        <v>768</v>
      </c>
      <c r="G112">
        <v>1</v>
      </c>
      <c r="H112" t="s">
        <v>28</v>
      </c>
      <c r="I112" s="3">
        <v>45434</v>
      </c>
      <c r="J112" s="3">
        <v>45395</v>
      </c>
      <c r="K112" t="s">
        <v>60</v>
      </c>
      <c r="L112" t="s">
        <v>31</v>
      </c>
    </row>
    <row r="113" spans="1:12" x14ac:dyDescent="0.3">
      <c r="A113">
        <v>1342</v>
      </c>
      <c r="B113" t="s">
        <v>12</v>
      </c>
      <c r="C113">
        <v>25</v>
      </c>
      <c r="D113" t="s">
        <v>55</v>
      </c>
      <c r="E113" t="s">
        <v>84</v>
      </c>
      <c r="F113" t="s">
        <v>769</v>
      </c>
      <c r="G113">
        <v>5</v>
      </c>
      <c r="H113" t="s">
        <v>17</v>
      </c>
      <c r="I113" s="3">
        <v>45537</v>
      </c>
      <c r="J113" s="3">
        <v>45432</v>
      </c>
      <c r="K113" t="s">
        <v>20</v>
      </c>
      <c r="L113" t="s">
        <v>21</v>
      </c>
    </row>
    <row r="114" spans="1:12" x14ac:dyDescent="0.3">
      <c r="A114">
        <v>1003</v>
      </c>
      <c r="B114" t="s">
        <v>117</v>
      </c>
      <c r="C114">
        <v>22</v>
      </c>
      <c r="D114" t="s">
        <v>659</v>
      </c>
      <c r="E114" t="s">
        <v>25</v>
      </c>
      <c r="F114" t="s">
        <v>770</v>
      </c>
      <c r="G114">
        <v>5</v>
      </c>
      <c r="H114" t="s">
        <v>17</v>
      </c>
      <c r="I114" s="3">
        <v>45304</v>
      </c>
      <c r="J114" s="3">
        <v>45445</v>
      </c>
      <c r="K114" t="s">
        <v>20</v>
      </c>
      <c r="L114" t="s">
        <v>78</v>
      </c>
    </row>
    <row r="115" spans="1:12" x14ac:dyDescent="0.3">
      <c r="A115">
        <v>1067</v>
      </c>
      <c r="B115" t="s">
        <v>163</v>
      </c>
      <c r="C115">
        <v>0</v>
      </c>
      <c r="D115" t="s">
        <v>55</v>
      </c>
      <c r="E115" t="s">
        <v>84</v>
      </c>
      <c r="F115" t="s">
        <v>771</v>
      </c>
      <c r="G115">
        <v>5</v>
      </c>
      <c r="H115" t="s">
        <v>28</v>
      </c>
      <c r="I115" s="3">
        <v>45323</v>
      </c>
      <c r="J115" s="3">
        <v>45379</v>
      </c>
      <c r="K115" t="s">
        <v>20</v>
      </c>
      <c r="L115" t="s">
        <v>116</v>
      </c>
    </row>
    <row r="116" spans="1:12" x14ac:dyDescent="0.3">
      <c r="A116">
        <v>1139</v>
      </c>
      <c r="B116" t="s">
        <v>22</v>
      </c>
      <c r="C116">
        <v>22</v>
      </c>
      <c r="D116" t="s">
        <v>659</v>
      </c>
      <c r="E116" t="s">
        <v>84</v>
      </c>
      <c r="F116" t="s">
        <v>772</v>
      </c>
      <c r="G116">
        <v>4</v>
      </c>
      <c r="H116" t="s">
        <v>28</v>
      </c>
      <c r="I116" s="3">
        <v>45570</v>
      </c>
      <c r="J116" s="3">
        <v>45474</v>
      </c>
      <c r="K116" t="s">
        <v>60</v>
      </c>
      <c r="L116" t="s">
        <v>78</v>
      </c>
    </row>
    <row r="117" spans="1:12" x14ac:dyDescent="0.3">
      <c r="A117">
        <v>1149</v>
      </c>
      <c r="B117" t="s">
        <v>136</v>
      </c>
      <c r="C117">
        <v>22</v>
      </c>
      <c r="D117" t="s">
        <v>55</v>
      </c>
      <c r="E117" t="s">
        <v>25</v>
      </c>
      <c r="F117" t="s">
        <v>773</v>
      </c>
      <c r="G117">
        <v>5</v>
      </c>
      <c r="H117" t="s">
        <v>17</v>
      </c>
      <c r="I117" s="3">
        <v>45386</v>
      </c>
      <c r="J117" s="3">
        <v>45337</v>
      </c>
      <c r="K117" t="s">
        <v>33</v>
      </c>
      <c r="L117" t="s">
        <v>54</v>
      </c>
    </row>
    <row r="118" spans="1:12" x14ac:dyDescent="0.3">
      <c r="A118">
        <v>1473</v>
      </c>
      <c r="B118" t="s">
        <v>163</v>
      </c>
      <c r="C118">
        <v>19</v>
      </c>
      <c r="D118" t="s">
        <v>659</v>
      </c>
      <c r="E118" t="s">
        <v>84</v>
      </c>
      <c r="F118" t="s">
        <v>774</v>
      </c>
      <c r="G118">
        <v>0</v>
      </c>
      <c r="H118" t="s">
        <v>908</v>
      </c>
      <c r="I118" s="3">
        <v>45392</v>
      </c>
      <c r="J118" s="3">
        <v>45349</v>
      </c>
      <c r="K118" t="s">
        <v>96</v>
      </c>
      <c r="L118" t="s">
        <v>41</v>
      </c>
    </row>
    <row r="119" spans="1:12" x14ac:dyDescent="0.3">
      <c r="A119">
        <v>1103</v>
      </c>
      <c r="B119" t="s">
        <v>117</v>
      </c>
      <c r="C119">
        <v>23</v>
      </c>
      <c r="D119" t="s">
        <v>24</v>
      </c>
      <c r="E119" t="s">
        <v>156</v>
      </c>
      <c r="F119" t="s">
        <v>775</v>
      </c>
      <c r="G119">
        <v>5</v>
      </c>
      <c r="H119" t="s">
        <v>76</v>
      </c>
      <c r="I119" s="3">
        <v>45413</v>
      </c>
      <c r="J119" s="3">
        <v>45375</v>
      </c>
      <c r="K119" t="s">
        <v>60</v>
      </c>
      <c r="L119" t="s">
        <v>116</v>
      </c>
    </row>
    <row r="120" spans="1:12" x14ac:dyDescent="0.3">
      <c r="A120">
        <v>1489</v>
      </c>
      <c r="B120" t="s">
        <v>107</v>
      </c>
      <c r="C120">
        <v>23</v>
      </c>
      <c r="D120" t="s">
        <v>659</v>
      </c>
      <c r="E120" t="s">
        <v>84</v>
      </c>
      <c r="F120" t="s">
        <v>776</v>
      </c>
      <c r="G120">
        <v>5</v>
      </c>
      <c r="H120" t="s">
        <v>908</v>
      </c>
      <c r="I120" s="3">
        <v>45327</v>
      </c>
      <c r="J120" s="3">
        <v>45539</v>
      </c>
      <c r="K120" t="s">
        <v>96</v>
      </c>
      <c r="L120" t="s">
        <v>78</v>
      </c>
    </row>
    <row r="121" spans="1:12" x14ac:dyDescent="0.3">
      <c r="A121">
        <v>1354</v>
      </c>
      <c r="B121" t="s">
        <v>22</v>
      </c>
      <c r="C121">
        <v>19</v>
      </c>
      <c r="D121" t="s">
        <v>24</v>
      </c>
      <c r="E121" t="s">
        <v>156</v>
      </c>
      <c r="F121" t="s">
        <v>777</v>
      </c>
      <c r="G121">
        <v>1</v>
      </c>
      <c r="H121" t="s">
        <v>28</v>
      </c>
      <c r="I121" s="3">
        <v>45316</v>
      </c>
      <c r="J121" s="3">
        <v>45386</v>
      </c>
      <c r="K121" t="s">
        <v>96</v>
      </c>
      <c r="L121" t="s">
        <v>41</v>
      </c>
    </row>
    <row r="122" spans="1:12" x14ac:dyDescent="0.3">
      <c r="A122">
        <v>1003</v>
      </c>
      <c r="B122" t="s">
        <v>12</v>
      </c>
      <c r="C122">
        <v>22</v>
      </c>
      <c r="D122" t="s">
        <v>24</v>
      </c>
      <c r="E122" t="s">
        <v>25</v>
      </c>
      <c r="F122" t="s">
        <v>778</v>
      </c>
      <c r="G122">
        <v>1</v>
      </c>
      <c r="H122" t="s">
        <v>908</v>
      </c>
      <c r="I122" s="3">
        <v>45457</v>
      </c>
      <c r="J122" s="3">
        <v>45602</v>
      </c>
      <c r="K122" t="s">
        <v>40</v>
      </c>
      <c r="L122" t="s">
        <v>61</v>
      </c>
    </row>
    <row r="123" spans="1:12" x14ac:dyDescent="0.3">
      <c r="A123">
        <v>1395</v>
      </c>
      <c r="B123" t="s">
        <v>120</v>
      </c>
      <c r="C123">
        <v>0</v>
      </c>
      <c r="D123" t="s">
        <v>24</v>
      </c>
      <c r="E123" t="s">
        <v>25</v>
      </c>
      <c r="F123" t="s">
        <v>779</v>
      </c>
      <c r="G123">
        <v>4</v>
      </c>
      <c r="H123" t="s">
        <v>17</v>
      </c>
      <c r="I123" s="3">
        <v>45435</v>
      </c>
      <c r="J123" s="3">
        <v>45458</v>
      </c>
      <c r="K123" t="s">
        <v>33</v>
      </c>
      <c r="L123" t="s">
        <v>31</v>
      </c>
    </row>
    <row r="124" spans="1:12" x14ac:dyDescent="0.3">
      <c r="A124">
        <v>1259</v>
      </c>
      <c r="B124" t="s">
        <v>47</v>
      </c>
      <c r="C124">
        <v>23</v>
      </c>
      <c r="D124" t="s">
        <v>55</v>
      </c>
      <c r="E124" t="s">
        <v>25</v>
      </c>
      <c r="F124" t="s">
        <v>780</v>
      </c>
      <c r="G124">
        <v>1</v>
      </c>
      <c r="H124" t="s">
        <v>908</v>
      </c>
      <c r="I124" s="3">
        <v>45325</v>
      </c>
      <c r="J124" s="3">
        <v>45296</v>
      </c>
      <c r="K124" t="s">
        <v>20</v>
      </c>
      <c r="L124" t="s">
        <v>41</v>
      </c>
    </row>
    <row r="125" spans="1:12" x14ac:dyDescent="0.3">
      <c r="A125">
        <v>1243</v>
      </c>
      <c r="B125" t="s">
        <v>163</v>
      </c>
      <c r="C125">
        <v>19</v>
      </c>
      <c r="D125" t="s">
        <v>24</v>
      </c>
      <c r="E125" t="s">
        <v>167</v>
      </c>
      <c r="F125" t="s">
        <v>781</v>
      </c>
      <c r="G125">
        <v>1</v>
      </c>
      <c r="H125" t="s">
        <v>28</v>
      </c>
      <c r="I125" s="3">
        <v>45315</v>
      </c>
      <c r="J125" s="3">
        <v>45336</v>
      </c>
      <c r="K125" t="s">
        <v>33</v>
      </c>
      <c r="L125" t="s">
        <v>78</v>
      </c>
    </row>
    <row r="126" spans="1:12" x14ac:dyDescent="0.3">
      <c r="A126">
        <v>1222</v>
      </c>
      <c r="B126" t="s">
        <v>47</v>
      </c>
      <c r="C126">
        <v>18</v>
      </c>
      <c r="D126" t="s">
        <v>55</v>
      </c>
      <c r="E126" t="s">
        <v>167</v>
      </c>
      <c r="F126" t="s">
        <v>782</v>
      </c>
      <c r="G126">
        <v>2</v>
      </c>
      <c r="H126" t="s">
        <v>908</v>
      </c>
      <c r="I126" s="3">
        <v>45417</v>
      </c>
      <c r="J126" s="3">
        <v>45376</v>
      </c>
      <c r="K126" t="s">
        <v>20</v>
      </c>
      <c r="L126" t="s">
        <v>78</v>
      </c>
    </row>
    <row r="127" spans="1:12" x14ac:dyDescent="0.3">
      <c r="A127">
        <v>1262</v>
      </c>
      <c r="B127" t="s">
        <v>74</v>
      </c>
      <c r="C127">
        <v>24</v>
      </c>
      <c r="D127" t="s">
        <v>659</v>
      </c>
      <c r="E127" t="s">
        <v>25</v>
      </c>
      <c r="F127" t="s">
        <v>783</v>
      </c>
      <c r="G127">
        <v>5</v>
      </c>
      <c r="H127" t="s">
        <v>908</v>
      </c>
      <c r="I127" s="3">
        <v>45462</v>
      </c>
      <c r="J127" s="3">
        <v>45347</v>
      </c>
      <c r="K127" t="s">
        <v>33</v>
      </c>
      <c r="L127" t="s">
        <v>41</v>
      </c>
    </row>
    <row r="128" spans="1:12" x14ac:dyDescent="0.3">
      <c r="A128">
        <v>1265</v>
      </c>
      <c r="B128" t="s">
        <v>74</v>
      </c>
      <c r="C128">
        <v>18</v>
      </c>
      <c r="D128" t="s">
        <v>55</v>
      </c>
      <c r="E128" t="s">
        <v>84</v>
      </c>
      <c r="F128" t="s">
        <v>784</v>
      </c>
      <c r="G128">
        <v>1</v>
      </c>
      <c r="H128" t="s">
        <v>908</v>
      </c>
      <c r="I128" s="3">
        <v>45360</v>
      </c>
      <c r="J128" s="3">
        <v>45447</v>
      </c>
      <c r="K128" t="s">
        <v>33</v>
      </c>
      <c r="L128" t="s">
        <v>116</v>
      </c>
    </row>
    <row r="129" spans="1:12" x14ac:dyDescent="0.3">
      <c r="A129">
        <v>1087</v>
      </c>
      <c r="B129" t="s">
        <v>74</v>
      </c>
      <c r="C129">
        <v>22</v>
      </c>
      <c r="D129" t="s">
        <v>55</v>
      </c>
      <c r="E129" t="s">
        <v>84</v>
      </c>
      <c r="F129" t="s">
        <v>785</v>
      </c>
      <c r="G129">
        <v>1</v>
      </c>
      <c r="H129" t="s">
        <v>28</v>
      </c>
      <c r="I129" s="3">
        <v>45456</v>
      </c>
      <c r="J129" s="3">
        <v>45567</v>
      </c>
      <c r="K129" t="s">
        <v>53</v>
      </c>
      <c r="L129" t="s">
        <v>31</v>
      </c>
    </row>
    <row r="130" spans="1:12" x14ac:dyDescent="0.3">
      <c r="A130">
        <v>1014</v>
      </c>
      <c r="B130" t="s">
        <v>107</v>
      </c>
      <c r="C130">
        <v>22</v>
      </c>
      <c r="D130" t="s">
        <v>659</v>
      </c>
      <c r="E130" t="s">
        <v>25</v>
      </c>
      <c r="F130" t="s">
        <v>786</v>
      </c>
      <c r="G130">
        <v>2</v>
      </c>
      <c r="H130" t="s">
        <v>17</v>
      </c>
      <c r="I130" s="3">
        <v>45430</v>
      </c>
      <c r="J130" s="3">
        <v>45315</v>
      </c>
      <c r="K130" t="s">
        <v>40</v>
      </c>
      <c r="L130" t="s">
        <v>116</v>
      </c>
    </row>
    <row r="131" spans="1:12" x14ac:dyDescent="0.3">
      <c r="A131">
        <v>1486</v>
      </c>
      <c r="B131" t="s">
        <v>47</v>
      </c>
      <c r="C131">
        <v>24</v>
      </c>
      <c r="D131" t="s">
        <v>55</v>
      </c>
      <c r="E131" t="s">
        <v>84</v>
      </c>
      <c r="F131" t="s">
        <v>787</v>
      </c>
      <c r="G131">
        <v>3</v>
      </c>
      <c r="H131" t="s">
        <v>17</v>
      </c>
      <c r="I131" s="3">
        <v>45352</v>
      </c>
      <c r="J131" s="3">
        <v>45295</v>
      </c>
      <c r="K131" t="s">
        <v>96</v>
      </c>
      <c r="L131" t="s">
        <v>54</v>
      </c>
    </row>
    <row r="132" spans="1:12" x14ac:dyDescent="0.3">
      <c r="A132">
        <v>1467</v>
      </c>
      <c r="B132" t="s">
        <v>117</v>
      </c>
      <c r="C132">
        <v>0</v>
      </c>
      <c r="D132" t="s">
        <v>659</v>
      </c>
      <c r="E132" t="s">
        <v>84</v>
      </c>
      <c r="F132" t="s">
        <v>788</v>
      </c>
      <c r="G132">
        <v>4</v>
      </c>
      <c r="H132" t="s">
        <v>28</v>
      </c>
      <c r="I132" s="3">
        <v>45444</v>
      </c>
      <c r="J132" s="3">
        <v>45456</v>
      </c>
      <c r="K132" t="s">
        <v>96</v>
      </c>
      <c r="L132" t="s">
        <v>78</v>
      </c>
    </row>
    <row r="133" spans="1:12" x14ac:dyDescent="0.3">
      <c r="A133">
        <v>1377</v>
      </c>
      <c r="B133" t="s">
        <v>47</v>
      </c>
      <c r="C133">
        <v>0</v>
      </c>
      <c r="D133" t="s">
        <v>55</v>
      </c>
      <c r="E133" t="s">
        <v>167</v>
      </c>
      <c r="F133" t="s">
        <v>789</v>
      </c>
      <c r="G133">
        <v>4</v>
      </c>
      <c r="H133" t="s">
        <v>908</v>
      </c>
      <c r="I133" s="3">
        <v>45353</v>
      </c>
      <c r="J133" s="3">
        <v>45335</v>
      </c>
      <c r="K133" t="s">
        <v>20</v>
      </c>
      <c r="L133" t="s">
        <v>21</v>
      </c>
    </row>
    <row r="134" spans="1:12" x14ac:dyDescent="0.3">
      <c r="A134">
        <v>1198</v>
      </c>
      <c r="B134" t="s">
        <v>107</v>
      </c>
      <c r="C134">
        <v>22</v>
      </c>
      <c r="D134" t="s">
        <v>24</v>
      </c>
      <c r="E134" t="s">
        <v>25</v>
      </c>
      <c r="F134" t="s">
        <v>790</v>
      </c>
      <c r="G134">
        <v>1</v>
      </c>
      <c r="H134" t="s">
        <v>28</v>
      </c>
      <c r="I134" s="3">
        <v>45323</v>
      </c>
      <c r="J134" s="3">
        <v>45407</v>
      </c>
      <c r="K134" t="s">
        <v>60</v>
      </c>
      <c r="L134" t="s">
        <v>101</v>
      </c>
    </row>
    <row r="135" spans="1:12" x14ac:dyDescent="0.3">
      <c r="A135">
        <v>1140</v>
      </c>
      <c r="B135" t="s">
        <v>163</v>
      </c>
      <c r="C135">
        <v>23</v>
      </c>
      <c r="D135" t="s">
        <v>55</v>
      </c>
      <c r="E135" t="s">
        <v>167</v>
      </c>
      <c r="F135" t="s">
        <v>791</v>
      </c>
      <c r="G135">
        <v>3</v>
      </c>
      <c r="H135" t="s">
        <v>17</v>
      </c>
      <c r="I135" s="3">
        <v>45537</v>
      </c>
      <c r="J135" s="3">
        <v>45311</v>
      </c>
      <c r="K135" t="s">
        <v>33</v>
      </c>
      <c r="L135" t="s">
        <v>31</v>
      </c>
    </row>
    <row r="136" spans="1:12" x14ac:dyDescent="0.3">
      <c r="A136">
        <v>1438</v>
      </c>
      <c r="B136" t="s">
        <v>107</v>
      </c>
      <c r="C136">
        <v>21</v>
      </c>
      <c r="D136" t="s">
        <v>24</v>
      </c>
      <c r="E136" t="s">
        <v>84</v>
      </c>
      <c r="F136" t="s">
        <v>792</v>
      </c>
      <c r="G136">
        <v>5</v>
      </c>
      <c r="H136" t="s">
        <v>908</v>
      </c>
      <c r="I136" s="3">
        <v>45386</v>
      </c>
      <c r="J136" s="3">
        <v>45395</v>
      </c>
      <c r="K136" t="s">
        <v>20</v>
      </c>
      <c r="L136" t="s">
        <v>78</v>
      </c>
    </row>
    <row r="137" spans="1:12" x14ac:dyDescent="0.3">
      <c r="A137">
        <v>1027</v>
      </c>
      <c r="B137" t="s">
        <v>22</v>
      </c>
      <c r="C137">
        <v>22</v>
      </c>
      <c r="D137" t="s">
        <v>659</v>
      </c>
      <c r="E137" t="s">
        <v>25</v>
      </c>
      <c r="F137" t="s">
        <v>793</v>
      </c>
      <c r="G137">
        <v>4</v>
      </c>
      <c r="H137" t="s">
        <v>908</v>
      </c>
      <c r="I137" s="3">
        <v>45348</v>
      </c>
      <c r="J137" s="3">
        <v>45339</v>
      </c>
      <c r="K137" t="s">
        <v>96</v>
      </c>
      <c r="L137" t="s">
        <v>41</v>
      </c>
    </row>
    <row r="138" spans="1:12" x14ac:dyDescent="0.3">
      <c r="A138">
        <v>1294</v>
      </c>
      <c r="B138" t="s">
        <v>163</v>
      </c>
      <c r="C138">
        <v>24</v>
      </c>
      <c r="D138" t="s">
        <v>24</v>
      </c>
      <c r="E138" t="s">
        <v>25</v>
      </c>
      <c r="F138" t="s">
        <v>794</v>
      </c>
      <c r="G138">
        <v>5</v>
      </c>
      <c r="H138" t="s">
        <v>908</v>
      </c>
      <c r="I138" s="3">
        <v>45324</v>
      </c>
      <c r="J138" s="3">
        <v>45371</v>
      </c>
      <c r="K138" t="s">
        <v>33</v>
      </c>
      <c r="L138" t="s">
        <v>21</v>
      </c>
    </row>
    <row r="139" spans="1:12" x14ac:dyDescent="0.3">
      <c r="A139">
        <v>1401</v>
      </c>
      <c r="B139" t="s">
        <v>47</v>
      </c>
      <c r="C139">
        <v>0</v>
      </c>
      <c r="D139" t="s">
        <v>55</v>
      </c>
      <c r="E139" t="s">
        <v>156</v>
      </c>
      <c r="F139" t="s">
        <v>795</v>
      </c>
      <c r="G139">
        <v>5</v>
      </c>
      <c r="H139" t="s">
        <v>908</v>
      </c>
      <c r="I139" s="3">
        <v>45571</v>
      </c>
      <c r="J139" s="3">
        <v>45396</v>
      </c>
      <c r="K139" t="s">
        <v>20</v>
      </c>
      <c r="L139" t="s">
        <v>31</v>
      </c>
    </row>
    <row r="140" spans="1:12" x14ac:dyDescent="0.3">
      <c r="A140">
        <v>1445</v>
      </c>
      <c r="B140" t="s">
        <v>22</v>
      </c>
      <c r="C140">
        <v>0</v>
      </c>
      <c r="D140" t="s">
        <v>24</v>
      </c>
      <c r="E140" t="s">
        <v>84</v>
      </c>
      <c r="F140" t="s">
        <v>796</v>
      </c>
      <c r="G140">
        <v>5</v>
      </c>
      <c r="H140" t="s">
        <v>17</v>
      </c>
      <c r="I140" s="3">
        <v>45430</v>
      </c>
      <c r="J140" s="3">
        <v>45447</v>
      </c>
      <c r="K140" t="s">
        <v>60</v>
      </c>
      <c r="L140" t="s">
        <v>21</v>
      </c>
    </row>
    <row r="141" spans="1:12" x14ac:dyDescent="0.3">
      <c r="A141">
        <v>1366</v>
      </c>
      <c r="B141" t="s">
        <v>163</v>
      </c>
      <c r="C141">
        <v>20</v>
      </c>
      <c r="D141" t="s">
        <v>659</v>
      </c>
      <c r="E141" t="s">
        <v>84</v>
      </c>
      <c r="F141" t="s">
        <v>797</v>
      </c>
      <c r="G141">
        <v>0</v>
      </c>
      <c r="H141" t="s">
        <v>17</v>
      </c>
      <c r="I141" s="3">
        <v>45327</v>
      </c>
      <c r="J141" s="3">
        <v>45448</v>
      </c>
      <c r="K141" t="s">
        <v>20</v>
      </c>
      <c r="L141" t="s">
        <v>54</v>
      </c>
    </row>
    <row r="142" spans="1:12" x14ac:dyDescent="0.3">
      <c r="A142">
        <v>1330</v>
      </c>
      <c r="B142" t="s">
        <v>107</v>
      </c>
      <c r="C142">
        <v>23</v>
      </c>
      <c r="D142" t="s">
        <v>55</v>
      </c>
      <c r="E142" t="s">
        <v>167</v>
      </c>
      <c r="F142" t="s">
        <v>798</v>
      </c>
      <c r="G142">
        <v>0</v>
      </c>
      <c r="H142" t="s">
        <v>908</v>
      </c>
      <c r="I142" s="3">
        <v>45432</v>
      </c>
      <c r="J142" s="3">
        <v>45324</v>
      </c>
      <c r="K142" t="s">
        <v>96</v>
      </c>
      <c r="L142" t="s">
        <v>61</v>
      </c>
    </row>
    <row r="143" spans="1:12" x14ac:dyDescent="0.3">
      <c r="A143">
        <v>1355</v>
      </c>
      <c r="B143" t="s">
        <v>117</v>
      </c>
      <c r="C143">
        <v>20</v>
      </c>
      <c r="D143" t="s">
        <v>55</v>
      </c>
      <c r="E143" t="s">
        <v>84</v>
      </c>
      <c r="F143" t="s">
        <v>799</v>
      </c>
      <c r="G143">
        <v>3</v>
      </c>
      <c r="H143" t="s">
        <v>17</v>
      </c>
      <c r="I143" s="3">
        <v>45362</v>
      </c>
      <c r="J143" s="3">
        <v>45373</v>
      </c>
      <c r="K143" t="s">
        <v>53</v>
      </c>
      <c r="L143" t="s">
        <v>101</v>
      </c>
    </row>
    <row r="144" spans="1:12" x14ac:dyDescent="0.3">
      <c r="A144">
        <v>1116</v>
      </c>
      <c r="B144" t="s">
        <v>12</v>
      </c>
      <c r="C144">
        <v>22</v>
      </c>
      <c r="D144" t="s">
        <v>55</v>
      </c>
      <c r="E144" t="s">
        <v>25</v>
      </c>
      <c r="F144" t="s">
        <v>800</v>
      </c>
      <c r="G144">
        <v>5</v>
      </c>
      <c r="H144" t="s">
        <v>17</v>
      </c>
      <c r="I144" s="3">
        <v>45433</v>
      </c>
      <c r="J144" s="3">
        <v>45407</v>
      </c>
      <c r="K144" t="s">
        <v>96</v>
      </c>
      <c r="L144" t="s">
        <v>61</v>
      </c>
    </row>
    <row r="145" spans="1:12" x14ac:dyDescent="0.3">
      <c r="A145">
        <v>1099</v>
      </c>
      <c r="B145" t="s">
        <v>163</v>
      </c>
      <c r="C145">
        <v>0</v>
      </c>
      <c r="D145" t="s">
        <v>24</v>
      </c>
      <c r="E145" t="s">
        <v>156</v>
      </c>
      <c r="F145" t="s">
        <v>801</v>
      </c>
      <c r="G145">
        <v>1</v>
      </c>
      <c r="H145" t="s">
        <v>28</v>
      </c>
      <c r="I145" s="3">
        <v>45378</v>
      </c>
      <c r="J145" s="3">
        <v>45325</v>
      </c>
      <c r="K145" t="s">
        <v>20</v>
      </c>
      <c r="L145" t="s">
        <v>101</v>
      </c>
    </row>
    <row r="146" spans="1:12" x14ac:dyDescent="0.3">
      <c r="A146">
        <v>1193</v>
      </c>
      <c r="B146" t="s">
        <v>107</v>
      </c>
      <c r="C146">
        <v>21</v>
      </c>
      <c r="D146" t="s">
        <v>55</v>
      </c>
      <c r="E146" t="s">
        <v>25</v>
      </c>
      <c r="F146" t="s">
        <v>802</v>
      </c>
      <c r="G146">
        <v>4</v>
      </c>
      <c r="H146" t="s">
        <v>908</v>
      </c>
      <c r="I146" s="3">
        <v>45397</v>
      </c>
      <c r="J146" s="3">
        <v>45458</v>
      </c>
      <c r="K146" t="s">
        <v>53</v>
      </c>
      <c r="L146" t="s">
        <v>21</v>
      </c>
    </row>
    <row r="147" spans="1:12" x14ac:dyDescent="0.3">
      <c r="A147">
        <v>1303</v>
      </c>
      <c r="B147" t="s">
        <v>120</v>
      </c>
      <c r="C147">
        <v>20</v>
      </c>
      <c r="D147" t="s">
        <v>55</v>
      </c>
      <c r="E147" t="s">
        <v>167</v>
      </c>
      <c r="F147" t="s">
        <v>803</v>
      </c>
      <c r="G147">
        <v>1</v>
      </c>
      <c r="H147" t="s">
        <v>17</v>
      </c>
      <c r="I147" s="3">
        <v>45450</v>
      </c>
      <c r="J147" s="3">
        <v>45459</v>
      </c>
      <c r="K147" t="s">
        <v>96</v>
      </c>
      <c r="L147" t="s">
        <v>54</v>
      </c>
    </row>
    <row r="148" spans="1:12" x14ac:dyDescent="0.3">
      <c r="A148">
        <v>1493</v>
      </c>
      <c r="B148" t="s">
        <v>74</v>
      </c>
      <c r="C148">
        <v>0</v>
      </c>
      <c r="D148" t="s">
        <v>659</v>
      </c>
      <c r="E148" t="s">
        <v>25</v>
      </c>
      <c r="F148" t="s">
        <v>804</v>
      </c>
      <c r="G148">
        <v>4</v>
      </c>
      <c r="H148" t="s">
        <v>908</v>
      </c>
      <c r="I148" s="3">
        <v>45336</v>
      </c>
      <c r="J148" s="3">
        <v>45305</v>
      </c>
      <c r="K148" t="s">
        <v>60</v>
      </c>
      <c r="L148" t="s">
        <v>116</v>
      </c>
    </row>
    <row r="149" spans="1:12" x14ac:dyDescent="0.3">
      <c r="A149">
        <v>1016</v>
      </c>
      <c r="B149" t="s">
        <v>120</v>
      </c>
      <c r="C149">
        <v>22</v>
      </c>
      <c r="D149" t="s">
        <v>24</v>
      </c>
      <c r="E149" t="s">
        <v>84</v>
      </c>
      <c r="F149" t="s">
        <v>805</v>
      </c>
      <c r="G149">
        <v>5</v>
      </c>
      <c r="H149" t="s">
        <v>28</v>
      </c>
      <c r="I149" s="3">
        <v>45628</v>
      </c>
      <c r="J149" s="3">
        <v>45315</v>
      </c>
      <c r="K149" t="s">
        <v>60</v>
      </c>
      <c r="L149" t="s">
        <v>54</v>
      </c>
    </row>
    <row r="150" spans="1:12" x14ac:dyDescent="0.3">
      <c r="A150">
        <v>1133</v>
      </c>
      <c r="B150" t="s">
        <v>12</v>
      </c>
      <c r="C150">
        <v>19</v>
      </c>
      <c r="D150" t="s">
        <v>55</v>
      </c>
      <c r="E150" t="s">
        <v>156</v>
      </c>
      <c r="F150" t="s">
        <v>806</v>
      </c>
      <c r="G150">
        <v>1</v>
      </c>
      <c r="H150" t="s">
        <v>17</v>
      </c>
      <c r="I150" s="3">
        <v>45365</v>
      </c>
      <c r="J150" s="3">
        <v>45317</v>
      </c>
      <c r="K150" t="s">
        <v>96</v>
      </c>
      <c r="L150" t="s">
        <v>41</v>
      </c>
    </row>
    <row r="151" spans="1:12" x14ac:dyDescent="0.3">
      <c r="A151">
        <v>1360</v>
      </c>
      <c r="B151" t="s">
        <v>47</v>
      </c>
      <c r="C151">
        <v>18</v>
      </c>
      <c r="D151" t="s">
        <v>55</v>
      </c>
      <c r="E151" t="s">
        <v>167</v>
      </c>
      <c r="F151" t="s">
        <v>807</v>
      </c>
      <c r="G151">
        <v>1</v>
      </c>
      <c r="H151" t="s">
        <v>908</v>
      </c>
      <c r="I151" s="3">
        <v>45311</v>
      </c>
      <c r="J151" s="3">
        <v>45374</v>
      </c>
      <c r="K151" t="s">
        <v>60</v>
      </c>
      <c r="L151" t="s">
        <v>78</v>
      </c>
    </row>
    <row r="152" spans="1:12" x14ac:dyDescent="0.3">
      <c r="A152">
        <v>1109</v>
      </c>
      <c r="B152" t="s">
        <v>120</v>
      </c>
      <c r="C152">
        <v>24</v>
      </c>
      <c r="D152" t="s">
        <v>24</v>
      </c>
      <c r="E152" t="s">
        <v>84</v>
      </c>
      <c r="F152" t="s">
        <v>808</v>
      </c>
      <c r="G152">
        <v>1</v>
      </c>
      <c r="H152" t="s">
        <v>17</v>
      </c>
      <c r="I152" s="3">
        <v>45364</v>
      </c>
      <c r="J152" s="3">
        <v>45408</v>
      </c>
      <c r="K152" t="s">
        <v>53</v>
      </c>
      <c r="L152" t="s">
        <v>21</v>
      </c>
    </row>
    <row r="153" spans="1:12" x14ac:dyDescent="0.3">
      <c r="A153">
        <v>1086</v>
      </c>
      <c r="B153" t="s">
        <v>117</v>
      </c>
      <c r="C153">
        <v>19</v>
      </c>
      <c r="D153" t="s">
        <v>24</v>
      </c>
      <c r="E153" t="s">
        <v>25</v>
      </c>
      <c r="F153" t="s">
        <v>809</v>
      </c>
      <c r="G153">
        <v>4</v>
      </c>
      <c r="H153" t="s">
        <v>17</v>
      </c>
      <c r="I153" s="3">
        <v>45370</v>
      </c>
      <c r="J153" s="3">
        <v>45379</v>
      </c>
      <c r="K153" t="s">
        <v>40</v>
      </c>
      <c r="L153" t="s">
        <v>101</v>
      </c>
    </row>
    <row r="154" spans="1:12" x14ac:dyDescent="0.3">
      <c r="A154">
        <v>1046</v>
      </c>
      <c r="B154" t="s">
        <v>155</v>
      </c>
      <c r="C154">
        <v>0</v>
      </c>
      <c r="D154" t="s">
        <v>24</v>
      </c>
      <c r="E154" t="s">
        <v>25</v>
      </c>
      <c r="F154" t="s">
        <v>810</v>
      </c>
      <c r="G154">
        <v>3</v>
      </c>
      <c r="H154" t="s">
        <v>17</v>
      </c>
      <c r="I154" s="3">
        <v>45423</v>
      </c>
      <c r="J154" s="3">
        <v>45340</v>
      </c>
      <c r="K154" t="s">
        <v>96</v>
      </c>
      <c r="L154" t="s">
        <v>101</v>
      </c>
    </row>
    <row r="155" spans="1:12" x14ac:dyDescent="0.3">
      <c r="A155">
        <v>1271</v>
      </c>
      <c r="B155" t="s">
        <v>74</v>
      </c>
      <c r="C155">
        <v>19</v>
      </c>
      <c r="D155" t="s">
        <v>55</v>
      </c>
      <c r="E155" t="s">
        <v>84</v>
      </c>
      <c r="F155" t="s">
        <v>811</v>
      </c>
      <c r="G155">
        <v>2</v>
      </c>
      <c r="H155" t="s">
        <v>28</v>
      </c>
      <c r="I155" s="3">
        <v>45345</v>
      </c>
      <c r="J155" s="3">
        <v>45356</v>
      </c>
      <c r="K155" t="s">
        <v>20</v>
      </c>
      <c r="L155" t="s">
        <v>101</v>
      </c>
    </row>
    <row r="156" spans="1:12" x14ac:dyDescent="0.3">
      <c r="A156">
        <v>1315</v>
      </c>
      <c r="B156" t="s">
        <v>12</v>
      </c>
      <c r="C156">
        <v>23</v>
      </c>
      <c r="D156" t="s">
        <v>24</v>
      </c>
      <c r="E156" t="s">
        <v>84</v>
      </c>
      <c r="F156" t="s">
        <v>812</v>
      </c>
      <c r="G156">
        <v>0</v>
      </c>
      <c r="H156" t="s">
        <v>908</v>
      </c>
      <c r="I156" s="3">
        <v>45397</v>
      </c>
      <c r="J156" s="3">
        <v>45629</v>
      </c>
      <c r="K156" t="s">
        <v>33</v>
      </c>
      <c r="L156" t="s">
        <v>21</v>
      </c>
    </row>
    <row r="157" spans="1:12" x14ac:dyDescent="0.3">
      <c r="A157">
        <v>1296</v>
      </c>
      <c r="B157" t="s">
        <v>107</v>
      </c>
      <c r="C157">
        <v>24</v>
      </c>
      <c r="D157" t="s">
        <v>55</v>
      </c>
      <c r="E157" t="s">
        <v>25</v>
      </c>
      <c r="F157" t="s">
        <v>813</v>
      </c>
      <c r="G157">
        <v>4</v>
      </c>
      <c r="H157" t="s">
        <v>28</v>
      </c>
      <c r="I157" s="3">
        <v>45358</v>
      </c>
      <c r="J157" s="3">
        <v>45293</v>
      </c>
      <c r="K157" t="s">
        <v>96</v>
      </c>
      <c r="L157" t="s">
        <v>31</v>
      </c>
    </row>
    <row r="158" spans="1:12" x14ac:dyDescent="0.3">
      <c r="A158">
        <v>1409</v>
      </c>
      <c r="B158" t="s">
        <v>163</v>
      </c>
      <c r="C158">
        <v>23</v>
      </c>
      <c r="D158" t="s">
        <v>659</v>
      </c>
      <c r="E158" t="s">
        <v>25</v>
      </c>
      <c r="F158" t="s">
        <v>814</v>
      </c>
      <c r="G158">
        <v>1</v>
      </c>
      <c r="H158" t="s">
        <v>28</v>
      </c>
      <c r="I158" s="3">
        <v>45466</v>
      </c>
      <c r="J158" s="3">
        <v>45477</v>
      </c>
      <c r="K158" t="s">
        <v>33</v>
      </c>
      <c r="L158" t="s">
        <v>61</v>
      </c>
    </row>
    <row r="159" spans="1:12" x14ac:dyDescent="0.3">
      <c r="A159">
        <v>1301</v>
      </c>
      <c r="B159" t="s">
        <v>120</v>
      </c>
      <c r="C159">
        <v>24</v>
      </c>
      <c r="D159" t="s">
        <v>55</v>
      </c>
      <c r="E159" t="s">
        <v>84</v>
      </c>
      <c r="F159" t="s">
        <v>815</v>
      </c>
      <c r="G159">
        <v>1</v>
      </c>
      <c r="H159" t="s">
        <v>28</v>
      </c>
      <c r="I159" s="3">
        <v>45375</v>
      </c>
      <c r="J159" s="3">
        <v>45413</v>
      </c>
      <c r="K159" t="s">
        <v>96</v>
      </c>
      <c r="L159" t="s">
        <v>101</v>
      </c>
    </row>
    <row r="160" spans="1:12" x14ac:dyDescent="0.3">
      <c r="A160">
        <v>1433</v>
      </c>
      <c r="B160" t="s">
        <v>120</v>
      </c>
      <c r="C160">
        <v>18</v>
      </c>
      <c r="D160" t="s">
        <v>55</v>
      </c>
      <c r="E160" t="s">
        <v>156</v>
      </c>
      <c r="F160" t="s">
        <v>816</v>
      </c>
      <c r="G160">
        <v>1</v>
      </c>
      <c r="H160" t="s">
        <v>17</v>
      </c>
      <c r="I160" s="3">
        <v>45405</v>
      </c>
      <c r="J160" s="3">
        <v>45414</v>
      </c>
      <c r="K160" t="s">
        <v>60</v>
      </c>
      <c r="L160" t="s">
        <v>116</v>
      </c>
    </row>
    <row r="161" spans="1:12" x14ac:dyDescent="0.3">
      <c r="A161">
        <v>1256</v>
      </c>
      <c r="B161" t="s">
        <v>155</v>
      </c>
      <c r="C161">
        <v>22</v>
      </c>
      <c r="D161" t="s">
        <v>659</v>
      </c>
      <c r="E161" t="s">
        <v>156</v>
      </c>
      <c r="F161" t="s">
        <v>817</v>
      </c>
      <c r="G161">
        <v>1</v>
      </c>
      <c r="H161" t="s">
        <v>17</v>
      </c>
      <c r="I161" s="3">
        <v>45389</v>
      </c>
      <c r="J161" s="3">
        <v>45536</v>
      </c>
      <c r="K161" t="s">
        <v>60</v>
      </c>
      <c r="L161" t="s">
        <v>54</v>
      </c>
    </row>
    <row r="162" spans="1:12" x14ac:dyDescent="0.3">
      <c r="A162">
        <v>1419</v>
      </c>
      <c r="B162" t="s">
        <v>117</v>
      </c>
      <c r="C162">
        <v>0</v>
      </c>
      <c r="D162" t="s">
        <v>55</v>
      </c>
      <c r="E162" t="s">
        <v>84</v>
      </c>
      <c r="F162" t="s">
        <v>818</v>
      </c>
      <c r="G162">
        <v>2</v>
      </c>
      <c r="H162" t="s">
        <v>17</v>
      </c>
      <c r="I162" s="3">
        <v>45457</v>
      </c>
      <c r="J162" s="3">
        <v>45401</v>
      </c>
      <c r="K162" t="s">
        <v>20</v>
      </c>
      <c r="L162" t="s">
        <v>116</v>
      </c>
    </row>
    <row r="163" spans="1:12" x14ac:dyDescent="0.3">
      <c r="A163">
        <v>1413</v>
      </c>
      <c r="B163" t="s">
        <v>107</v>
      </c>
      <c r="C163">
        <v>22</v>
      </c>
      <c r="D163" t="s">
        <v>55</v>
      </c>
      <c r="E163" t="s">
        <v>84</v>
      </c>
      <c r="F163" t="s">
        <v>819</v>
      </c>
      <c r="G163">
        <v>4</v>
      </c>
      <c r="H163" t="s">
        <v>17</v>
      </c>
      <c r="I163" s="3">
        <v>45355</v>
      </c>
      <c r="J163" s="3">
        <v>45368</v>
      </c>
      <c r="K163" t="s">
        <v>53</v>
      </c>
      <c r="L163" t="s">
        <v>54</v>
      </c>
    </row>
    <row r="164" spans="1:12" x14ac:dyDescent="0.3">
      <c r="A164">
        <v>1385</v>
      </c>
      <c r="B164" t="s">
        <v>22</v>
      </c>
      <c r="C164">
        <v>18</v>
      </c>
      <c r="D164" t="s">
        <v>55</v>
      </c>
      <c r="E164" t="s">
        <v>84</v>
      </c>
      <c r="F164" t="s">
        <v>820</v>
      </c>
      <c r="G164">
        <v>4</v>
      </c>
      <c r="H164" t="s">
        <v>17</v>
      </c>
      <c r="I164" s="3">
        <v>45311</v>
      </c>
      <c r="J164" s="3">
        <v>45309</v>
      </c>
      <c r="K164" t="s">
        <v>53</v>
      </c>
      <c r="L164" t="s">
        <v>41</v>
      </c>
    </row>
    <row r="165" spans="1:12" x14ac:dyDescent="0.3">
      <c r="A165">
        <v>1467</v>
      </c>
      <c r="B165" t="s">
        <v>163</v>
      </c>
      <c r="C165">
        <v>0</v>
      </c>
      <c r="D165" t="s">
        <v>55</v>
      </c>
      <c r="E165" t="s">
        <v>167</v>
      </c>
      <c r="F165" t="s">
        <v>821</v>
      </c>
      <c r="G165">
        <v>5</v>
      </c>
      <c r="H165" t="s">
        <v>17</v>
      </c>
      <c r="I165" s="3">
        <v>45338</v>
      </c>
      <c r="J165" s="3">
        <v>45566</v>
      </c>
      <c r="K165" t="s">
        <v>96</v>
      </c>
      <c r="L165" t="s">
        <v>41</v>
      </c>
    </row>
    <row r="166" spans="1:12" x14ac:dyDescent="0.3">
      <c r="A166">
        <v>1324</v>
      </c>
      <c r="B166" t="s">
        <v>107</v>
      </c>
      <c r="C166">
        <v>19</v>
      </c>
      <c r="D166" t="s">
        <v>659</v>
      </c>
      <c r="E166" t="s">
        <v>25</v>
      </c>
      <c r="F166" t="s">
        <v>822</v>
      </c>
      <c r="G166">
        <v>1</v>
      </c>
      <c r="H166" t="s">
        <v>28</v>
      </c>
      <c r="I166" s="3">
        <v>45461</v>
      </c>
      <c r="J166" s="3">
        <v>45328</v>
      </c>
      <c r="K166" t="s">
        <v>60</v>
      </c>
      <c r="L166" t="s">
        <v>61</v>
      </c>
    </row>
    <row r="167" spans="1:12" x14ac:dyDescent="0.3">
      <c r="A167">
        <v>1414</v>
      </c>
      <c r="B167" t="s">
        <v>47</v>
      </c>
      <c r="C167">
        <v>18</v>
      </c>
      <c r="D167" t="s">
        <v>55</v>
      </c>
      <c r="E167" t="s">
        <v>167</v>
      </c>
      <c r="F167" t="s">
        <v>823</v>
      </c>
      <c r="G167">
        <v>5</v>
      </c>
      <c r="H167" t="s">
        <v>76</v>
      </c>
      <c r="I167" s="3">
        <v>45423</v>
      </c>
      <c r="J167" s="3">
        <v>45410</v>
      </c>
      <c r="K167" t="s">
        <v>53</v>
      </c>
      <c r="L167" t="s">
        <v>31</v>
      </c>
    </row>
    <row r="168" spans="1:12" x14ac:dyDescent="0.3">
      <c r="A168">
        <v>1391</v>
      </c>
      <c r="B168" t="s">
        <v>12</v>
      </c>
      <c r="C168">
        <v>23</v>
      </c>
      <c r="D168" t="s">
        <v>24</v>
      </c>
      <c r="E168" t="s">
        <v>25</v>
      </c>
      <c r="F168" t="s">
        <v>824</v>
      </c>
      <c r="G168">
        <v>1</v>
      </c>
      <c r="H168" t="s">
        <v>28</v>
      </c>
      <c r="I168" s="3">
        <v>45407</v>
      </c>
      <c r="J168" s="3">
        <v>45295</v>
      </c>
      <c r="K168" t="s">
        <v>40</v>
      </c>
      <c r="L168" t="s">
        <v>116</v>
      </c>
    </row>
    <row r="169" spans="1:12" x14ac:dyDescent="0.3">
      <c r="A169">
        <v>1349</v>
      </c>
      <c r="B169" t="s">
        <v>117</v>
      </c>
      <c r="C169">
        <v>24</v>
      </c>
      <c r="D169" t="s">
        <v>659</v>
      </c>
      <c r="E169" t="s">
        <v>84</v>
      </c>
      <c r="F169" t="s">
        <v>825</v>
      </c>
      <c r="G169">
        <v>5</v>
      </c>
      <c r="H169" t="s">
        <v>17</v>
      </c>
      <c r="I169" s="3">
        <v>45452</v>
      </c>
      <c r="J169" s="3">
        <v>45373</v>
      </c>
      <c r="K169" t="s">
        <v>60</v>
      </c>
      <c r="L169" t="s">
        <v>21</v>
      </c>
    </row>
    <row r="170" spans="1:12" x14ac:dyDescent="0.3">
      <c r="A170">
        <v>1486</v>
      </c>
      <c r="B170" t="s">
        <v>136</v>
      </c>
      <c r="C170">
        <v>24</v>
      </c>
      <c r="D170" t="s">
        <v>55</v>
      </c>
      <c r="E170" t="s">
        <v>25</v>
      </c>
      <c r="F170" t="s">
        <v>826</v>
      </c>
      <c r="G170">
        <v>4</v>
      </c>
      <c r="H170" t="s">
        <v>28</v>
      </c>
      <c r="I170" s="3">
        <v>45425</v>
      </c>
      <c r="J170" s="3">
        <v>45597</v>
      </c>
      <c r="K170" t="s">
        <v>53</v>
      </c>
      <c r="L170" t="s">
        <v>41</v>
      </c>
    </row>
    <row r="171" spans="1:12" x14ac:dyDescent="0.3">
      <c r="A171">
        <v>1060</v>
      </c>
      <c r="B171" t="s">
        <v>12</v>
      </c>
      <c r="C171">
        <v>19</v>
      </c>
      <c r="D171" t="s">
        <v>24</v>
      </c>
      <c r="E171" t="s">
        <v>167</v>
      </c>
      <c r="F171" t="s">
        <v>827</v>
      </c>
      <c r="G171">
        <v>1</v>
      </c>
      <c r="H171" t="s">
        <v>908</v>
      </c>
      <c r="I171" s="3">
        <v>45307</v>
      </c>
      <c r="J171" s="3">
        <v>45367</v>
      </c>
      <c r="K171" t="s">
        <v>60</v>
      </c>
      <c r="L171" t="s">
        <v>54</v>
      </c>
    </row>
    <row r="172" spans="1:12" x14ac:dyDescent="0.3">
      <c r="A172">
        <v>1321</v>
      </c>
      <c r="B172" t="s">
        <v>74</v>
      </c>
      <c r="C172">
        <v>19</v>
      </c>
      <c r="D172" t="s">
        <v>24</v>
      </c>
      <c r="E172" t="s">
        <v>167</v>
      </c>
      <c r="F172" t="s">
        <v>828</v>
      </c>
      <c r="G172">
        <v>4</v>
      </c>
      <c r="H172" t="s">
        <v>17</v>
      </c>
      <c r="I172" s="3">
        <v>45339</v>
      </c>
      <c r="J172" s="3">
        <v>45414</v>
      </c>
      <c r="K172" t="s">
        <v>53</v>
      </c>
      <c r="L172" t="s">
        <v>41</v>
      </c>
    </row>
    <row r="173" spans="1:12" x14ac:dyDescent="0.3">
      <c r="A173">
        <v>1372</v>
      </c>
      <c r="B173" t="s">
        <v>163</v>
      </c>
      <c r="C173">
        <v>22</v>
      </c>
      <c r="D173" t="s">
        <v>24</v>
      </c>
      <c r="E173" t="s">
        <v>84</v>
      </c>
      <c r="F173" t="s">
        <v>829</v>
      </c>
      <c r="G173">
        <v>1</v>
      </c>
      <c r="H173" t="s">
        <v>908</v>
      </c>
      <c r="I173" s="3">
        <v>45344</v>
      </c>
      <c r="J173" s="3">
        <v>45536</v>
      </c>
      <c r="K173" t="s">
        <v>60</v>
      </c>
      <c r="L173" t="s">
        <v>21</v>
      </c>
    </row>
    <row r="174" spans="1:12" x14ac:dyDescent="0.3">
      <c r="A174">
        <v>1254</v>
      </c>
      <c r="B174" t="s">
        <v>117</v>
      </c>
      <c r="C174">
        <v>22</v>
      </c>
      <c r="D174" t="s">
        <v>55</v>
      </c>
      <c r="E174" t="s">
        <v>167</v>
      </c>
      <c r="F174" t="s">
        <v>830</v>
      </c>
      <c r="G174">
        <v>2</v>
      </c>
      <c r="H174" t="s">
        <v>28</v>
      </c>
      <c r="I174" s="3">
        <v>45345</v>
      </c>
      <c r="J174" s="3">
        <v>45350</v>
      </c>
      <c r="K174" t="s">
        <v>96</v>
      </c>
      <c r="L174" t="s">
        <v>41</v>
      </c>
    </row>
    <row r="175" spans="1:12" x14ac:dyDescent="0.3">
      <c r="A175">
        <v>1460</v>
      </c>
      <c r="B175" t="s">
        <v>120</v>
      </c>
      <c r="C175">
        <v>18</v>
      </c>
      <c r="D175" t="s">
        <v>24</v>
      </c>
      <c r="E175" t="s">
        <v>156</v>
      </c>
      <c r="F175" t="s">
        <v>831</v>
      </c>
      <c r="G175">
        <v>4</v>
      </c>
      <c r="H175" t="s">
        <v>17</v>
      </c>
      <c r="I175" s="3">
        <v>45298</v>
      </c>
      <c r="J175" s="3">
        <v>45397</v>
      </c>
      <c r="K175" t="s">
        <v>33</v>
      </c>
      <c r="L175" t="s">
        <v>78</v>
      </c>
    </row>
    <row r="176" spans="1:12" x14ac:dyDescent="0.3">
      <c r="A176">
        <v>1323</v>
      </c>
      <c r="B176" t="s">
        <v>47</v>
      </c>
      <c r="C176">
        <v>19</v>
      </c>
      <c r="D176" t="s">
        <v>55</v>
      </c>
      <c r="E176" t="s">
        <v>156</v>
      </c>
      <c r="F176" t="s">
        <v>832</v>
      </c>
      <c r="G176">
        <v>0</v>
      </c>
      <c r="H176" t="s">
        <v>28</v>
      </c>
      <c r="I176" s="3">
        <v>45470</v>
      </c>
      <c r="J176" s="3">
        <v>45384</v>
      </c>
      <c r="K176" t="s">
        <v>53</v>
      </c>
      <c r="L176" t="s">
        <v>78</v>
      </c>
    </row>
    <row r="177" spans="1:12" x14ac:dyDescent="0.3">
      <c r="A177">
        <v>1300</v>
      </c>
      <c r="B177" t="s">
        <v>163</v>
      </c>
      <c r="C177">
        <v>22</v>
      </c>
      <c r="D177" t="s">
        <v>659</v>
      </c>
      <c r="E177" t="s">
        <v>25</v>
      </c>
      <c r="F177" t="s">
        <v>833</v>
      </c>
      <c r="G177">
        <v>5</v>
      </c>
      <c r="H177" t="s">
        <v>17</v>
      </c>
      <c r="I177" s="3">
        <v>45360</v>
      </c>
      <c r="J177" s="3">
        <v>45454</v>
      </c>
      <c r="K177" t="s">
        <v>53</v>
      </c>
      <c r="L177" t="s">
        <v>116</v>
      </c>
    </row>
    <row r="178" spans="1:12" x14ac:dyDescent="0.3">
      <c r="A178">
        <v>1307</v>
      </c>
      <c r="B178" t="s">
        <v>47</v>
      </c>
      <c r="C178">
        <v>18</v>
      </c>
      <c r="D178" t="s">
        <v>24</v>
      </c>
      <c r="E178" t="s">
        <v>156</v>
      </c>
      <c r="F178" t="s">
        <v>834</v>
      </c>
      <c r="G178">
        <v>1</v>
      </c>
      <c r="H178" t="s">
        <v>17</v>
      </c>
      <c r="I178" s="3">
        <v>45403</v>
      </c>
      <c r="J178" s="3">
        <v>45383</v>
      </c>
      <c r="K178" t="s">
        <v>60</v>
      </c>
      <c r="L178" t="s">
        <v>78</v>
      </c>
    </row>
    <row r="179" spans="1:12" x14ac:dyDescent="0.3">
      <c r="A179">
        <v>1135</v>
      </c>
      <c r="B179" t="s">
        <v>120</v>
      </c>
      <c r="C179">
        <v>25</v>
      </c>
      <c r="D179" t="s">
        <v>55</v>
      </c>
      <c r="E179" t="s">
        <v>25</v>
      </c>
      <c r="F179" t="s">
        <v>835</v>
      </c>
      <c r="G179">
        <v>4</v>
      </c>
      <c r="H179" t="s">
        <v>908</v>
      </c>
      <c r="I179" s="3">
        <v>45339</v>
      </c>
      <c r="J179" s="3">
        <v>45365</v>
      </c>
      <c r="K179" t="s">
        <v>96</v>
      </c>
      <c r="L179" t="s">
        <v>78</v>
      </c>
    </row>
    <row r="180" spans="1:12" x14ac:dyDescent="0.3">
      <c r="A180">
        <v>1486</v>
      </c>
      <c r="B180" t="s">
        <v>22</v>
      </c>
      <c r="C180">
        <v>0</v>
      </c>
      <c r="D180" t="s">
        <v>24</v>
      </c>
      <c r="E180" t="s">
        <v>84</v>
      </c>
      <c r="F180" t="s">
        <v>836</v>
      </c>
      <c r="G180">
        <v>5</v>
      </c>
      <c r="H180" t="s">
        <v>28</v>
      </c>
      <c r="I180" s="3">
        <v>45429</v>
      </c>
      <c r="J180" s="3">
        <v>45465</v>
      </c>
      <c r="K180" t="s">
        <v>33</v>
      </c>
      <c r="L180" t="s">
        <v>61</v>
      </c>
    </row>
    <row r="181" spans="1:12" x14ac:dyDescent="0.3">
      <c r="A181">
        <v>1088</v>
      </c>
      <c r="B181" t="s">
        <v>107</v>
      </c>
      <c r="C181">
        <v>23</v>
      </c>
      <c r="D181" t="s">
        <v>55</v>
      </c>
      <c r="E181" t="s">
        <v>167</v>
      </c>
      <c r="F181" t="s">
        <v>837</v>
      </c>
      <c r="G181">
        <v>4</v>
      </c>
      <c r="H181" t="s">
        <v>17</v>
      </c>
      <c r="I181" s="3">
        <v>45297</v>
      </c>
      <c r="J181" s="3">
        <v>45632</v>
      </c>
      <c r="K181" t="s">
        <v>96</v>
      </c>
      <c r="L181" t="s">
        <v>31</v>
      </c>
    </row>
    <row r="182" spans="1:12" x14ac:dyDescent="0.3">
      <c r="A182">
        <v>1454</v>
      </c>
      <c r="B182" t="s">
        <v>163</v>
      </c>
      <c r="C182">
        <v>22</v>
      </c>
      <c r="D182" t="s">
        <v>24</v>
      </c>
      <c r="E182" t="s">
        <v>25</v>
      </c>
      <c r="F182" t="s">
        <v>838</v>
      </c>
      <c r="G182">
        <v>4</v>
      </c>
      <c r="H182" t="s">
        <v>28</v>
      </c>
      <c r="I182" s="3">
        <v>45376</v>
      </c>
      <c r="J182" s="3">
        <v>45372</v>
      </c>
      <c r="K182" t="s">
        <v>20</v>
      </c>
      <c r="L182" t="s">
        <v>21</v>
      </c>
    </row>
    <row r="183" spans="1:12" x14ac:dyDescent="0.3">
      <c r="A183">
        <v>1141</v>
      </c>
      <c r="B183" t="s">
        <v>136</v>
      </c>
      <c r="C183">
        <v>25</v>
      </c>
      <c r="D183" t="s">
        <v>55</v>
      </c>
      <c r="E183" t="s">
        <v>25</v>
      </c>
      <c r="F183" t="s">
        <v>839</v>
      </c>
      <c r="G183">
        <v>1</v>
      </c>
      <c r="H183" t="s">
        <v>28</v>
      </c>
      <c r="I183" s="3">
        <v>45311</v>
      </c>
      <c r="J183" s="3">
        <v>45376</v>
      </c>
      <c r="K183" t="s">
        <v>20</v>
      </c>
      <c r="L183" t="s">
        <v>41</v>
      </c>
    </row>
    <row r="184" spans="1:12" x14ac:dyDescent="0.3">
      <c r="A184">
        <v>1412</v>
      </c>
      <c r="B184" t="s">
        <v>47</v>
      </c>
      <c r="C184">
        <v>20</v>
      </c>
      <c r="D184" t="s">
        <v>55</v>
      </c>
      <c r="E184" t="s">
        <v>84</v>
      </c>
      <c r="F184" t="s">
        <v>840</v>
      </c>
      <c r="G184">
        <v>0</v>
      </c>
      <c r="H184" t="s">
        <v>908</v>
      </c>
      <c r="I184" s="3">
        <v>45354</v>
      </c>
      <c r="J184" s="3">
        <v>45370</v>
      </c>
      <c r="K184" t="s">
        <v>33</v>
      </c>
      <c r="L184" t="s">
        <v>116</v>
      </c>
    </row>
    <row r="185" spans="1:12" x14ac:dyDescent="0.3">
      <c r="A185">
        <v>1364</v>
      </c>
      <c r="B185" t="s">
        <v>155</v>
      </c>
      <c r="C185">
        <v>21</v>
      </c>
      <c r="D185" t="s">
        <v>24</v>
      </c>
      <c r="E185" t="s">
        <v>84</v>
      </c>
      <c r="F185" t="s">
        <v>841</v>
      </c>
      <c r="G185">
        <v>5</v>
      </c>
      <c r="H185" t="s">
        <v>28</v>
      </c>
      <c r="I185" s="3">
        <v>45395</v>
      </c>
      <c r="J185" s="3">
        <v>45305</v>
      </c>
      <c r="K185" t="s">
        <v>33</v>
      </c>
      <c r="L185" t="s">
        <v>101</v>
      </c>
    </row>
    <row r="186" spans="1:12" x14ac:dyDescent="0.3">
      <c r="A186">
        <v>1319</v>
      </c>
      <c r="B186" t="s">
        <v>155</v>
      </c>
      <c r="C186">
        <v>23</v>
      </c>
      <c r="D186" t="s">
        <v>55</v>
      </c>
      <c r="E186" t="s">
        <v>156</v>
      </c>
      <c r="F186" t="s">
        <v>842</v>
      </c>
      <c r="G186">
        <v>5</v>
      </c>
      <c r="H186" t="s">
        <v>17</v>
      </c>
      <c r="I186" s="3">
        <v>45333</v>
      </c>
      <c r="J186" s="3">
        <v>45447</v>
      </c>
      <c r="K186" t="s">
        <v>33</v>
      </c>
      <c r="L186" t="s">
        <v>54</v>
      </c>
    </row>
    <row r="187" spans="1:12" x14ac:dyDescent="0.3">
      <c r="A187">
        <v>1340</v>
      </c>
      <c r="B187" t="s">
        <v>120</v>
      </c>
      <c r="C187">
        <v>23</v>
      </c>
      <c r="D187" t="s">
        <v>659</v>
      </c>
      <c r="E187" t="s">
        <v>84</v>
      </c>
      <c r="F187" t="s">
        <v>843</v>
      </c>
      <c r="G187">
        <v>1</v>
      </c>
      <c r="H187" t="s">
        <v>28</v>
      </c>
      <c r="I187" s="3">
        <v>45379</v>
      </c>
      <c r="J187" s="3">
        <v>45335</v>
      </c>
      <c r="K187" t="s">
        <v>33</v>
      </c>
      <c r="L187" t="s">
        <v>101</v>
      </c>
    </row>
    <row r="188" spans="1:12" x14ac:dyDescent="0.3">
      <c r="A188">
        <v>1420</v>
      </c>
      <c r="B188" t="s">
        <v>155</v>
      </c>
      <c r="C188">
        <v>22</v>
      </c>
      <c r="D188" t="s">
        <v>55</v>
      </c>
      <c r="E188" t="s">
        <v>84</v>
      </c>
      <c r="F188" t="s">
        <v>844</v>
      </c>
      <c r="G188">
        <v>2</v>
      </c>
      <c r="H188" t="s">
        <v>17</v>
      </c>
      <c r="I188" s="3">
        <v>45440</v>
      </c>
      <c r="J188" s="3">
        <v>45425</v>
      </c>
      <c r="K188" t="s">
        <v>40</v>
      </c>
      <c r="L188" t="s">
        <v>31</v>
      </c>
    </row>
    <row r="189" spans="1:12" x14ac:dyDescent="0.3">
      <c r="A189">
        <v>1119</v>
      </c>
      <c r="B189" t="s">
        <v>32</v>
      </c>
      <c r="C189">
        <v>20</v>
      </c>
      <c r="D189" t="s">
        <v>659</v>
      </c>
      <c r="E189" t="s">
        <v>25</v>
      </c>
      <c r="F189" t="s">
        <v>845</v>
      </c>
      <c r="G189">
        <v>4</v>
      </c>
      <c r="H189" t="s">
        <v>17</v>
      </c>
      <c r="I189" s="3">
        <v>45367</v>
      </c>
      <c r="J189" s="3">
        <v>45318</v>
      </c>
      <c r="K189" t="s">
        <v>20</v>
      </c>
      <c r="L189" t="s">
        <v>31</v>
      </c>
    </row>
    <row r="190" spans="1:12" x14ac:dyDescent="0.3">
      <c r="A190">
        <v>1496</v>
      </c>
      <c r="B190" t="s">
        <v>12</v>
      </c>
      <c r="C190">
        <v>24</v>
      </c>
      <c r="D190" t="s">
        <v>55</v>
      </c>
      <c r="E190" t="s">
        <v>25</v>
      </c>
      <c r="F190" t="s">
        <v>846</v>
      </c>
      <c r="G190">
        <v>2</v>
      </c>
      <c r="H190" t="s">
        <v>908</v>
      </c>
      <c r="I190" s="3">
        <v>45313</v>
      </c>
      <c r="J190" s="3">
        <v>45447</v>
      </c>
      <c r="K190" t="s">
        <v>53</v>
      </c>
      <c r="L190" t="s">
        <v>61</v>
      </c>
    </row>
    <row r="191" spans="1:12" x14ac:dyDescent="0.3">
      <c r="A191">
        <v>1480</v>
      </c>
      <c r="B191" t="s">
        <v>120</v>
      </c>
      <c r="C191">
        <v>22</v>
      </c>
      <c r="D191" t="s">
        <v>55</v>
      </c>
      <c r="E191" t="s">
        <v>156</v>
      </c>
      <c r="F191" t="s">
        <v>847</v>
      </c>
      <c r="G191">
        <v>4</v>
      </c>
      <c r="H191" t="s">
        <v>28</v>
      </c>
      <c r="I191" s="3">
        <v>45432</v>
      </c>
      <c r="J191" s="3">
        <v>45475</v>
      </c>
      <c r="K191" t="s">
        <v>60</v>
      </c>
      <c r="L191" t="s">
        <v>21</v>
      </c>
    </row>
    <row r="192" spans="1:12" x14ac:dyDescent="0.3">
      <c r="A192">
        <v>1377</v>
      </c>
      <c r="B192" t="s">
        <v>155</v>
      </c>
      <c r="C192">
        <v>25</v>
      </c>
      <c r="D192" t="s">
        <v>55</v>
      </c>
      <c r="E192" t="s">
        <v>25</v>
      </c>
      <c r="F192" t="s">
        <v>848</v>
      </c>
      <c r="G192">
        <v>2</v>
      </c>
      <c r="H192" t="s">
        <v>28</v>
      </c>
      <c r="I192" s="3">
        <v>45404</v>
      </c>
      <c r="J192" s="3">
        <v>45541</v>
      </c>
      <c r="K192" t="s">
        <v>40</v>
      </c>
      <c r="L192" t="s">
        <v>31</v>
      </c>
    </row>
    <row r="193" spans="1:12" x14ac:dyDescent="0.3">
      <c r="A193">
        <v>1424</v>
      </c>
      <c r="B193" t="s">
        <v>74</v>
      </c>
      <c r="C193">
        <v>22</v>
      </c>
      <c r="D193" t="s">
        <v>659</v>
      </c>
      <c r="E193" t="s">
        <v>167</v>
      </c>
      <c r="F193" t="s">
        <v>849</v>
      </c>
      <c r="G193">
        <v>5</v>
      </c>
      <c r="H193" t="s">
        <v>908</v>
      </c>
      <c r="I193" s="3">
        <v>45310</v>
      </c>
      <c r="J193" s="3">
        <v>45383</v>
      </c>
      <c r="K193" t="s">
        <v>20</v>
      </c>
      <c r="L193" t="s">
        <v>116</v>
      </c>
    </row>
    <row r="194" spans="1:12" x14ac:dyDescent="0.3">
      <c r="A194">
        <v>1472</v>
      </c>
      <c r="B194" t="s">
        <v>22</v>
      </c>
      <c r="C194">
        <v>22</v>
      </c>
      <c r="D194" t="s">
        <v>659</v>
      </c>
      <c r="E194" t="s">
        <v>84</v>
      </c>
      <c r="F194" t="s">
        <v>850</v>
      </c>
      <c r="G194">
        <v>4</v>
      </c>
      <c r="H194" t="s">
        <v>908</v>
      </c>
      <c r="I194" s="3">
        <v>45324</v>
      </c>
      <c r="J194" s="3">
        <v>45366</v>
      </c>
      <c r="K194" t="s">
        <v>20</v>
      </c>
      <c r="L194" t="s">
        <v>78</v>
      </c>
    </row>
    <row r="195" spans="1:12" x14ac:dyDescent="0.3">
      <c r="A195">
        <v>1372</v>
      </c>
      <c r="B195" t="s">
        <v>120</v>
      </c>
      <c r="C195">
        <v>0</v>
      </c>
      <c r="D195" t="s">
        <v>24</v>
      </c>
      <c r="E195" t="s">
        <v>25</v>
      </c>
      <c r="F195" t="s">
        <v>851</v>
      </c>
      <c r="G195">
        <v>2</v>
      </c>
      <c r="H195" t="s">
        <v>908</v>
      </c>
      <c r="I195" s="3">
        <v>45343</v>
      </c>
      <c r="J195" s="3">
        <v>45308</v>
      </c>
      <c r="K195" t="s">
        <v>40</v>
      </c>
      <c r="L195" t="s">
        <v>78</v>
      </c>
    </row>
    <row r="196" spans="1:12" x14ac:dyDescent="0.3">
      <c r="A196">
        <v>1250</v>
      </c>
      <c r="B196" t="s">
        <v>47</v>
      </c>
      <c r="C196">
        <v>0</v>
      </c>
      <c r="D196" t="s">
        <v>24</v>
      </c>
      <c r="E196" t="s">
        <v>25</v>
      </c>
      <c r="F196" t="s">
        <v>852</v>
      </c>
      <c r="G196">
        <v>3</v>
      </c>
      <c r="H196" t="s">
        <v>17</v>
      </c>
      <c r="I196" s="3">
        <v>45312</v>
      </c>
      <c r="J196" s="3">
        <v>45357</v>
      </c>
      <c r="K196" t="s">
        <v>33</v>
      </c>
      <c r="L196" t="s">
        <v>54</v>
      </c>
    </row>
    <row r="197" spans="1:12" x14ac:dyDescent="0.3">
      <c r="A197">
        <v>1447</v>
      </c>
      <c r="B197" t="s">
        <v>22</v>
      </c>
      <c r="C197">
        <v>22</v>
      </c>
      <c r="D197" t="s">
        <v>24</v>
      </c>
      <c r="E197" t="s">
        <v>25</v>
      </c>
      <c r="F197" t="s">
        <v>853</v>
      </c>
      <c r="G197">
        <v>5</v>
      </c>
      <c r="H197" t="s">
        <v>908</v>
      </c>
      <c r="I197" s="3">
        <v>45378</v>
      </c>
      <c r="J197" s="3">
        <v>45326</v>
      </c>
      <c r="K197" t="s">
        <v>33</v>
      </c>
      <c r="L197" t="s">
        <v>61</v>
      </c>
    </row>
    <row r="198" spans="1:12" x14ac:dyDescent="0.3">
      <c r="A198">
        <v>1058</v>
      </c>
      <c r="B198" t="s">
        <v>32</v>
      </c>
      <c r="C198">
        <v>24</v>
      </c>
      <c r="D198" t="s">
        <v>24</v>
      </c>
      <c r="E198" t="s">
        <v>25</v>
      </c>
      <c r="F198" t="s">
        <v>854</v>
      </c>
      <c r="G198">
        <v>4</v>
      </c>
      <c r="H198" t="s">
        <v>908</v>
      </c>
      <c r="I198" s="3">
        <v>45318</v>
      </c>
      <c r="J198" s="3">
        <v>45314</v>
      </c>
      <c r="K198" t="s">
        <v>20</v>
      </c>
      <c r="L198" t="s">
        <v>101</v>
      </c>
    </row>
    <row r="199" spans="1:12" x14ac:dyDescent="0.3">
      <c r="A199">
        <v>1493</v>
      </c>
      <c r="B199" t="s">
        <v>74</v>
      </c>
      <c r="C199">
        <v>23</v>
      </c>
      <c r="D199" t="s">
        <v>659</v>
      </c>
      <c r="E199" t="s">
        <v>25</v>
      </c>
      <c r="F199" t="s">
        <v>855</v>
      </c>
      <c r="G199">
        <v>5</v>
      </c>
      <c r="H199" t="s">
        <v>908</v>
      </c>
      <c r="I199" s="3">
        <v>45537</v>
      </c>
      <c r="J199" s="3">
        <v>45376</v>
      </c>
      <c r="K199" t="s">
        <v>20</v>
      </c>
      <c r="L199" t="s">
        <v>61</v>
      </c>
    </row>
    <row r="200" spans="1:12" x14ac:dyDescent="0.3">
      <c r="A200">
        <v>1077</v>
      </c>
      <c r="B200" t="s">
        <v>120</v>
      </c>
      <c r="C200">
        <v>25</v>
      </c>
      <c r="D200" t="s">
        <v>24</v>
      </c>
      <c r="E200" t="s">
        <v>156</v>
      </c>
      <c r="F200" t="s">
        <v>856</v>
      </c>
      <c r="G200">
        <v>3</v>
      </c>
      <c r="H200" t="s">
        <v>28</v>
      </c>
      <c r="I200" s="3">
        <v>45385</v>
      </c>
      <c r="J200" s="3">
        <v>45354</v>
      </c>
      <c r="K200" t="s">
        <v>20</v>
      </c>
      <c r="L200" t="s">
        <v>78</v>
      </c>
    </row>
    <row r="201" spans="1:12" x14ac:dyDescent="0.3">
      <c r="A201">
        <v>1008</v>
      </c>
      <c r="B201" t="s">
        <v>12</v>
      </c>
      <c r="C201">
        <v>21</v>
      </c>
      <c r="D201" t="s">
        <v>24</v>
      </c>
      <c r="E201" t="s">
        <v>156</v>
      </c>
      <c r="F201" t="s">
        <v>857</v>
      </c>
      <c r="G201">
        <v>2</v>
      </c>
      <c r="H201" t="s">
        <v>28</v>
      </c>
      <c r="I201" s="3">
        <v>45398</v>
      </c>
      <c r="J201" s="3">
        <v>45429</v>
      </c>
      <c r="K201" t="s">
        <v>40</v>
      </c>
      <c r="L201" t="s">
        <v>116</v>
      </c>
    </row>
    <row r="202" spans="1:12" x14ac:dyDescent="0.3">
      <c r="A202">
        <v>1206</v>
      </c>
      <c r="B202" t="s">
        <v>32</v>
      </c>
      <c r="C202">
        <v>22</v>
      </c>
      <c r="D202" t="s">
        <v>24</v>
      </c>
      <c r="E202" t="s">
        <v>25</v>
      </c>
      <c r="F202" t="s">
        <v>858</v>
      </c>
      <c r="G202">
        <v>5</v>
      </c>
      <c r="H202" t="s">
        <v>908</v>
      </c>
      <c r="I202" s="3">
        <v>45438</v>
      </c>
      <c r="J202" s="3">
        <v>45372</v>
      </c>
      <c r="K202" t="s">
        <v>33</v>
      </c>
      <c r="L202" t="s">
        <v>78</v>
      </c>
    </row>
    <row r="203" spans="1:12" x14ac:dyDescent="0.3">
      <c r="A203">
        <v>1390</v>
      </c>
      <c r="B203" t="s">
        <v>107</v>
      </c>
      <c r="C203">
        <v>0</v>
      </c>
      <c r="D203" t="s">
        <v>24</v>
      </c>
      <c r="E203" t="s">
        <v>25</v>
      </c>
      <c r="F203" t="s">
        <v>859</v>
      </c>
      <c r="G203">
        <v>5</v>
      </c>
      <c r="H203" t="s">
        <v>28</v>
      </c>
      <c r="I203" s="3">
        <v>45398</v>
      </c>
      <c r="J203" s="3">
        <v>45566</v>
      </c>
      <c r="K203" t="s">
        <v>53</v>
      </c>
      <c r="L203" t="s">
        <v>101</v>
      </c>
    </row>
    <row r="204" spans="1:12" x14ac:dyDescent="0.3">
      <c r="A204">
        <v>1065</v>
      </c>
      <c r="B204" t="s">
        <v>32</v>
      </c>
      <c r="C204">
        <v>19</v>
      </c>
      <c r="D204" t="s">
        <v>659</v>
      </c>
      <c r="E204" t="s">
        <v>167</v>
      </c>
      <c r="F204" t="s">
        <v>860</v>
      </c>
      <c r="G204">
        <v>2</v>
      </c>
      <c r="H204" t="s">
        <v>17</v>
      </c>
      <c r="I204" s="3">
        <v>45387</v>
      </c>
      <c r="J204" s="3">
        <v>45310</v>
      </c>
      <c r="K204" t="s">
        <v>40</v>
      </c>
      <c r="L204" t="s">
        <v>78</v>
      </c>
    </row>
    <row r="205" spans="1:12" x14ac:dyDescent="0.3">
      <c r="A205">
        <v>1222</v>
      </c>
      <c r="B205" t="s">
        <v>136</v>
      </c>
      <c r="C205">
        <v>21</v>
      </c>
      <c r="D205" t="s">
        <v>55</v>
      </c>
      <c r="E205" t="s">
        <v>167</v>
      </c>
      <c r="F205" t="s">
        <v>861</v>
      </c>
      <c r="G205">
        <v>4</v>
      </c>
      <c r="H205" t="s">
        <v>28</v>
      </c>
      <c r="I205" s="3">
        <v>45301</v>
      </c>
      <c r="J205" s="3">
        <v>45370</v>
      </c>
      <c r="K205" t="s">
        <v>40</v>
      </c>
      <c r="L205" t="s">
        <v>116</v>
      </c>
    </row>
    <row r="206" spans="1:12" x14ac:dyDescent="0.3">
      <c r="A206">
        <v>1198</v>
      </c>
      <c r="B206" t="s">
        <v>117</v>
      </c>
      <c r="C206">
        <v>22</v>
      </c>
      <c r="D206" t="s">
        <v>55</v>
      </c>
      <c r="E206" t="s">
        <v>156</v>
      </c>
      <c r="F206" t="s">
        <v>862</v>
      </c>
      <c r="G206">
        <v>1</v>
      </c>
      <c r="H206" t="s">
        <v>908</v>
      </c>
      <c r="I206" s="3">
        <v>45344</v>
      </c>
      <c r="J206" s="3">
        <v>45383</v>
      </c>
      <c r="K206" t="s">
        <v>20</v>
      </c>
      <c r="L206" t="s">
        <v>54</v>
      </c>
    </row>
    <row r="207" spans="1:12" x14ac:dyDescent="0.3">
      <c r="A207">
        <v>1040</v>
      </c>
      <c r="B207" t="s">
        <v>120</v>
      </c>
      <c r="C207">
        <v>21</v>
      </c>
      <c r="D207" t="s">
        <v>55</v>
      </c>
      <c r="E207" t="s">
        <v>84</v>
      </c>
      <c r="F207" t="s">
        <v>863</v>
      </c>
      <c r="G207">
        <v>4</v>
      </c>
      <c r="H207" t="s">
        <v>28</v>
      </c>
      <c r="I207" s="3">
        <v>45404</v>
      </c>
      <c r="J207" s="3">
        <v>45355</v>
      </c>
      <c r="K207" t="s">
        <v>53</v>
      </c>
      <c r="L207" t="s">
        <v>116</v>
      </c>
    </row>
    <row r="208" spans="1:12" x14ac:dyDescent="0.3">
      <c r="A208">
        <v>1375</v>
      </c>
      <c r="B208" t="s">
        <v>74</v>
      </c>
      <c r="C208">
        <v>19</v>
      </c>
      <c r="D208" t="s">
        <v>55</v>
      </c>
      <c r="E208" t="s">
        <v>156</v>
      </c>
      <c r="F208" t="s">
        <v>864</v>
      </c>
      <c r="G208">
        <v>0</v>
      </c>
      <c r="H208" t="s">
        <v>17</v>
      </c>
      <c r="I208" s="3">
        <v>45475</v>
      </c>
      <c r="J208" s="3">
        <v>45339</v>
      </c>
      <c r="K208" t="s">
        <v>60</v>
      </c>
      <c r="L208" t="s">
        <v>78</v>
      </c>
    </row>
    <row r="209" spans="1:12" x14ac:dyDescent="0.3">
      <c r="A209">
        <v>1458</v>
      </c>
      <c r="B209" t="s">
        <v>22</v>
      </c>
      <c r="C209">
        <v>21</v>
      </c>
      <c r="D209" t="s">
        <v>55</v>
      </c>
      <c r="E209" t="s">
        <v>25</v>
      </c>
      <c r="F209" t="s">
        <v>865</v>
      </c>
      <c r="G209">
        <v>1</v>
      </c>
      <c r="H209" t="s">
        <v>28</v>
      </c>
      <c r="I209" s="3">
        <v>45471</v>
      </c>
      <c r="J209" s="3">
        <v>45295</v>
      </c>
      <c r="K209" t="s">
        <v>33</v>
      </c>
      <c r="L209" t="s">
        <v>54</v>
      </c>
    </row>
    <row r="210" spans="1:12" x14ac:dyDescent="0.3">
      <c r="A210">
        <v>1076</v>
      </c>
      <c r="B210" t="s">
        <v>22</v>
      </c>
      <c r="C210">
        <v>23</v>
      </c>
      <c r="D210" t="s">
        <v>55</v>
      </c>
      <c r="E210" t="s">
        <v>25</v>
      </c>
      <c r="F210" t="s">
        <v>866</v>
      </c>
      <c r="G210">
        <v>2</v>
      </c>
      <c r="H210" t="s">
        <v>17</v>
      </c>
      <c r="I210" s="3">
        <v>45352</v>
      </c>
      <c r="J210" s="3">
        <v>45407</v>
      </c>
      <c r="K210" t="s">
        <v>33</v>
      </c>
      <c r="L210" t="s">
        <v>41</v>
      </c>
    </row>
    <row r="211" spans="1:12" x14ac:dyDescent="0.3">
      <c r="A211">
        <v>1460</v>
      </c>
      <c r="B211" t="s">
        <v>32</v>
      </c>
      <c r="C211">
        <v>0</v>
      </c>
      <c r="D211" t="s">
        <v>659</v>
      </c>
      <c r="E211" t="s">
        <v>84</v>
      </c>
      <c r="F211" t="s">
        <v>867</v>
      </c>
      <c r="G211">
        <v>1</v>
      </c>
      <c r="H211" t="s">
        <v>908</v>
      </c>
      <c r="I211" s="3">
        <v>45305</v>
      </c>
      <c r="J211" s="3">
        <v>45376</v>
      </c>
      <c r="K211" t="s">
        <v>33</v>
      </c>
      <c r="L211" t="s">
        <v>21</v>
      </c>
    </row>
    <row r="212" spans="1:12" x14ac:dyDescent="0.3">
      <c r="A212">
        <v>1153</v>
      </c>
      <c r="B212" t="s">
        <v>163</v>
      </c>
      <c r="C212">
        <v>0</v>
      </c>
      <c r="D212" t="s">
        <v>55</v>
      </c>
      <c r="E212" t="s">
        <v>167</v>
      </c>
      <c r="F212" t="s">
        <v>868</v>
      </c>
      <c r="G212">
        <v>1</v>
      </c>
      <c r="H212" t="s">
        <v>17</v>
      </c>
      <c r="I212" s="3">
        <v>45390</v>
      </c>
      <c r="J212" s="3">
        <v>45357</v>
      </c>
      <c r="K212" t="s">
        <v>96</v>
      </c>
      <c r="L212" t="s">
        <v>116</v>
      </c>
    </row>
    <row r="213" spans="1:12" x14ac:dyDescent="0.3">
      <c r="A213">
        <v>1490</v>
      </c>
      <c r="B213" t="s">
        <v>120</v>
      </c>
      <c r="C213">
        <v>24</v>
      </c>
      <c r="D213" t="s">
        <v>55</v>
      </c>
      <c r="E213" t="s">
        <v>84</v>
      </c>
      <c r="F213" t="s">
        <v>869</v>
      </c>
      <c r="G213">
        <v>4</v>
      </c>
      <c r="H213" t="s">
        <v>28</v>
      </c>
      <c r="I213" s="3">
        <v>45438</v>
      </c>
      <c r="J213" s="3">
        <v>45383</v>
      </c>
      <c r="K213" t="s">
        <v>60</v>
      </c>
      <c r="L213" t="s">
        <v>116</v>
      </c>
    </row>
    <row r="214" spans="1:12" x14ac:dyDescent="0.3">
      <c r="A214">
        <v>1123</v>
      </c>
      <c r="B214" t="s">
        <v>12</v>
      </c>
      <c r="C214">
        <v>25</v>
      </c>
      <c r="D214" t="s">
        <v>659</v>
      </c>
      <c r="E214" t="s">
        <v>84</v>
      </c>
      <c r="F214" t="s">
        <v>870</v>
      </c>
      <c r="G214">
        <v>0</v>
      </c>
      <c r="H214" t="s">
        <v>908</v>
      </c>
      <c r="I214" s="3">
        <v>45370</v>
      </c>
      <c r="J214" s="3">
        <v>45339</v>
      </c>
      <c r="K214" t="s">
        <v>20</v>
      </c>
      <c r="L214" t="s">
        <v>101</v>
      </c>
    </row>
    <row r="215" spans="1:12" x14ac:dyDescent="0.3">
      <c r="A215">
        <v>1497</v>
      </c>
      <c r="B215" t="s">
        <v>163</v>
      </c>
      <c r="C215">
        <v>24</v>
      </c>
      <c r="D215" t="s">
        <v>24</v>
      </c>
      <c r="E215" t="s">
        <v>25</v>
      </c>
      <c r="F215" t="s">
        <v>871</v>
      </c>
      <c r="G215">
        <v>2</v>
      </c>
      <c r="H215" t="s">
        <v>908</v>
      </c>
      <c r="I215" s="3">
        <v>45292</v>
      </c>
      <c r="J215" s="3">
        <v>45431</v>
      </c>
      <c r="K215" t="s">
        <v>60</v>
      </c>
      <c r="L215" t="s">
        <v>41</v>
      </c>
    </row>
    <row r="216" spans="1:12" x14ac:dyDescent="0.3">
      <c r="A216">
        <v>1135</v>
      </c>
      <c r="B216" t="s">
        <v>74</v>
      </c>
      <c r="C216">
        <v>23</v>
      </c>
      <c r="D216" t="s">
        <v>55</v>
      </c>
      <c r="E216" t="s">
        <v>25</v>
      </c>
      <c r="F216" t="s">
        <v>872</v>
      </c>
      <c r="G216">
        <v>1</v>
      </c>
      <c r="H216" t="s">
        <v>908</v>
      </c>
      <c r="I216" s="3">
        <v>45476</v>
      </c>
      <c r="J216" s="3">
        <v>45566</v>
      </c>
      <c r="K216" t="s">
        <v>53</v>
      </c>
      <c r="L216" t="s">
        <v>101</v>
      </c>
    </row>
    <row r="217" spans="1:12" x14ac:dyDescent="0.3">
      <c r="A217">
        <v>1269</v>
      </c>
      <c r="B217" t="s">
        <v>107</v>
      </c>
      <c r="C217">
        <v>25</v>
      </c>
      <c r="D217" t="s">
        <v>55</v>
      </c>
      <c r="E217" t="s">
        <v>84</v>
      </c>
      <c r="F217" t="s">
        <v>873</v>
      </c>
      <c r="G217">
        <v>4</v>
      </c>
      <c r="H217" t="s">
        <v>28</v>
      </c>
      <c r="I217" s="3">
        <v>45448</v>
      </c>
      <c r="J217" s="3">
        <v>45366</v>
      </c>
      <c r="K217" t="s">
        <v>53</v>
      </c>
      <c r="L217" t="s">
        <v>31</v>
      </c>
    </row>
    <row r="218" spans="1:12" x14ac:dyDescent="0.3">
      <c r="A218">
        <v>1428</v>
      </c>
      <c r="B218" t="s">
        <v>47</v>
      </c>
      <c r="C218">
        <v>19</v>
      </c>
      <c r="D218" t="s">
        <v>24</v>
      </c>
      <c r="E218" t="s">
        <v>156</v>
      </c>
      <c r="F218" t="s">
        <v>874</v>
      </c>
      <c r="G218">
        <v>2</v>
      </c>
      <c r="H218" t="s">
        <v>28</v>
      </c>
      <c r="I218" s="3">
        <v>45429</v>
      </c>
      <c r="J218" s="3">
        <v>45474</v>
      </c>
      <c r="K218" t="s">
        <v>20</v>
      </c>
      <c r="L218" t="s">
        <v>101</v>
      </c>
    </row>
    <row r="219" spans="1:12" x14ac:dyDescent="0.3">
      <c r="A219">
        <v>1251</v>
      </c>
      <c r="B219" t="s">
        <v>120</v>
      </c>
      <c r="C219">
        <v>19</v>
      </c>
      <c r="D219" t="s">
        <v>24</v>
      </c>
      <c r="E219" t="s">
        <v>84</v>
      </c>
      <c r="F219" t="s">
        <v>875</v>
      </c>
      <c r="G219">
        <v>5</v>
      </c>
      <c r="H219" t="s">
        <v>908</v>
      </c>
      <c r="I219" s="3">
        <v>45346</v>
      </c>
      <c r="J219" s="3">
        <v>45627</v>
      </c>
      <c r="K219" t="s">
        <v>53</v>
      </c>
      <c r="L219" t="s">
        <v>101</v>
      </c>
    </row>
    <row r="220" spans="1:12" x14ac:dyDescent="0.3">
      <c r="A220">
        <v>1257</v>
      </c>
      <c r="B220" t="s">
        <v>136</v>
      </c>
      <c r="C220">
        <v>24</v>
      </c>
      <c r="D220" t="s">
        <v>55</v>
      </c>
      <c r="E220" t="s">
        <v>25</v>
      </c>
      <c r="F220" t="s">
        <v>876</v>
      </c>
      <c r="G220">
        <v>4</v>
      </c>
      <c r="H220" t="s">
        <v>17</v>
      </c>
      <c r="I220" s="3">
        <v>45352</v>
      </c>
      <c r="J220" s="3">
        <v>45571</v>
      </c>
      <c r="K220" t="s">
        <v>20</v>
      </c>
      <c r="L220" t="s">
        <v>31</v>
      </c>
    </row>
    <row r="221" spans="1:12" x14ac:dyDescent="0.3">
      <c r="A221">
        <v>1247</v>
      </c>
      <c r="B221" t="s">
        <v>22</v>
      </c>
      <c r="C221">
        <v>24</v>
      </c>
      <c r="D221" t="s">
        <v>659</v>
      </c>
      <c r="E221" t="s">
        <v>156</v>
      </c>
      <c r="F221" t="s">
        <v>877</v>
      </c>
      <c r="G221">
        <v>4</v>
      </c>
      <c r="H221" t="s">
        <v>17</v>
      </c>
      <c r="I221" s="3">
        <v>45398</v>
      </c>
      <c r="J221" s="3">
        <v>45296</v>
      </c>
      <c r="K221" t="s">
        <v>20</v>
      </c>
      <c r="L221" t="s">
        <v>41</v>
      </c>
    </row>
    <row r="222" spans="1:12" x14ac:dyDescent="0.3">
      <c r="A222">
        <v>1169</v>
      </c>
      <c r="B222" t="s">
        <v>136</v>
      </c>
      <c r="C222">
        <v>22</v>
      </c>
      <c r="D222" t="s">
        <v>24</v>
      </c>
      <c r="E222" t="s">
        <v>167</v>
      </c>
      <c r="F222" t="s">
        <v>878</v>
      </c>
      <c r="G222">
        <v>5</v>
      </c>
      <c r="H222" t="s">
        <v>28</v>
      </c>
      <c r="I222" s="3">
        <v>45437</v>
      </c>
      <c r="J222" s="3">
        <v>45295</v>
      </c>
      <c r="K222" t="s">
        <v>40</v>
      </c>
      <c r="L222" t="s">
        <v>61</v>
      </c>
    </row>
    <row r="223" spans="1:12" x14ac:dyDescent="0.3">
      <c r="A223">
        <v>1206</v>
      </c>
      <c r="B223" t="s">
        <v>22</v>
      </c>
      <c r="C223">
        <v>22</v>
      </c>
      <c r="D223" t="s">
        <v>659</v>
      </c>
      <c r="E223" t="s">
        <v>25</v>
      </c>
      <c r="F223" t="s">
        <v>879</v>
      </c>
      <c r="G223">
        <v>1</v>
      </c>
      <c r="H223" t="s">
        <v>28</v>
      </c>
      <c r="I223" s="3">
        <v>45438</v>
      </c>
      <c r="J223" s="3">
        <v>45427</v>
      </c>
      <c r="K223" t="s">
        <v>33</v>
      </c>
      <c r="L223" t="s">
        <v>101</v>
      </c>
    </row>
    <row r="224" spans="1:12" x14ac:dyDescent="0.3">
      <c r="A224">
        <v>1440</v>
      </c>
      <c r="B224" t="s">
        <v>47</v>
      </c>
      <c r="C224">
        <v>18</v>
      </c>
      <c r="D224" t="s">
        <v>24</v>
      </c>
      <c r="E224" t="s">
        <v>167</v>
      </c>
      <c r="F224" t="s">
        <v>880</v>
      </c>
      <c r="G224">
        <v>3</v>
      </c>
      <c r="H224" t="s">
        <v>28</v>
      </c>
      <c r="I224" s="3">
        <v>45326</v>
      </c>
      <c r="J224" s="3">
        <v>45431</v>
      </c>
      <c r="K224" t="s">
        <v>60</v>
      </c>
      <c r="L224" t="s">
        <v>78</v>
      </c>
    </row>
    <row r="225" spans="1:12" x14ac:dyDescent="0.3">
      <c r="A225">
        <v>1471</v>
      </c>
      <c r="B225" t="s">
        <v>107</v>
      </c>
      <c r="C225">
        <v>0</v>
      </c>
      <c r="D225" t="s">
        <v>55</v>
      </c>
      <c r="E225" t="s">
        <v>84</v>
      </c>
      <c r="F225" t="s">
        <v>881</v>
      </c>
      <c r="G225">
        <v>4</v>
      </c>
      <c r="H225" t="s">
        <v>908</v>
      </c>
      <c r="I225" s="3">
        <v>45457</v>
      </c>
      <c r="J225" s="3">
        <v>45294</v>
      </c>
      <c r="K225" t="s">
        <v>40</v>
      </c>
      <c r="L225" t="s">
        <v>116</v>
      </c>
    </row>
    <row r="226" spans="1:12" x14ac:dyDescent="0.3">
      <c r="A226">
        <v>1063</v>
      </c>
      <c r="B226" t="s">
        <v>163</v>
      </c>
      <c r="C226">
        <v>22</v>
      </c>
      <c r="D226" t="s">
        <v>55</v>
      </c>
      <c r="E226" t="s">
        <v>25</v>
      </c>
      <c r="F226" t="s">
        <v>882</v>
      </c>
      <c r="G226">
        <v>4</v>
      </c>
      <c r="H226" t="s">
        <v>28</v>
      </c>
      <c r="I226" s="3">
        <v>45471</v>
      </c>
      <c r="J226" s="3">
        <v>45385</v>
      </c>
      <c r="K226" t="s">
        <v>20</v>
      </c>
      <c r="L226" t="s">
        <v>31</v>
      </c>
    </row>
    <row r="227" spans="1:12" x14ac:dyDescent="0.3">
      <c r="A227">
        <v>1481</v>
      </c>
      <c r="B227" t="s">
        <v>22</v>
      </c>
      <c r="C227">
        <v>21</v>
      </c>
      <c r="D227" t="s">
        <v>659</v>
      </c>
      <c r="E227" t="s">
        <v>167</v>
      </c>
      <c r="F227" t="s">
        <v>883</v>
      </c>
      <c r="G227">
        <v>2</v>
      </c>
      <c r="H227" t="s">
        <v>908</v>
      </c>
      <c r="I227" s="3">
        <v>45446</v>
      </c>
      <c r="J227" s="3">
        <v>45541</v>
      </c>
      <c r="K227" t="s">
        <v>96</v>
      </c>
      <c r="L227" t="s">
        <v>21</v>
      </c>
    </row>
    <row r="228" spans="1:12" x14ac:dyDescent="0.3">
      <c r="A228">
        <v>1003</v>
      </c>
      <c r="B228" t="s">
        <v>120</v>
      </c>
      <c r="C228">
        <v>19</v>
      </c>
      <c r="D228" t="s">
        <v>24</v>
      </c>
      <c r="E228" t="s">
        <v>156</v>
      </c>
      <c r="F228" t="s">
        <v>884</v>
      </c>
      <c r="G228">
        <v>4</v>
      </c>
      <c r="H228" t="s">
        <v>17</v>
      </c>
      <c r="I228" s="3">
        <v>45366</v>
      </c>
      <c r="J228" s="3">
        <v>45427</v>
      </c>
      <c r="K228" t="s">
        <v>96</v>
      </c>
      <c r="L228" t="s">
        <v>54</v>
      </c>
    </row>
    <row r="229" spans="1:12" x14ac:dyDescent="0.3">
      <c r="A229">
        <v>1017</v>
      </c>
      <c r="B229" t="s">
        <v>22</v>
      </c>
      <c r="C229">
        <v>23</v>
      </c>
      <c r="D229" t="s">
        <v>55</v>
      </c>
      <c r="E229" t="s">
        <v>25</v>
      </c>
      <c r="F229" t="s">
        <v>885</v>
      </c>
      <c r="G229">
        <v>0</v>
      </c>
      <c r="H229" t="s">
        <v>76</v>
      </c>
      <c r="I229" s="3">
        <v>45339</v>
      </c>
      <c r="J229" s="3">
        <v>45463</v>
      </c>
      <c r="K229" t="s">
        <v>20</v>
      </c>
      <c r="L229" t="s">
        <v>21</v>
      </c>
    </row>
    <row r="230" spans="1:12" x14ac:dyDescent="0.3">
      <c r="A230">
        <v>1088</v>
      </c>
      <c r="B230" t="s">
        <v>163</v>
      </c>
      <c r="C230">
        <v>21</v>
      </c>
      <c r="D230" t="s">
        <v>55</v>
      </c>
      <c r="E230" t="s">
        <v>84</v>
      </c>
      <c r="F230" t="s">
        <v>886</v>
      </c>
      <c r="G230">
        <v>1</v>
      </c>
      <c r="H230" t="s">
        <v>76</v>
      </c>
      <c r="I230" s="3">
        <v>45384</v>
      </c>
      <c r="J230" s="3">
        <v>45365</v>
      </c>
      <c r="K230" t="s">
        <v>96</v>
      </c>
      <c r="L230" t="s">
        <v>41</v>
      </c>
    </row>
    <row r="231" spans="1:12" x14ac:dyDescent="0.3">
      <c r="A231">
        <v>1238</v>
      </c>
      <c r="B231" t="s">
        <v>107</v>
      </c>
      <c r="C231">
        <v>21</v>
      </c>
      <c r="D231" t="s">
        <v>55</v>
      </c>
      <c r="E231" t="s">
        <v>25</v>
      </c>
      <c r="F231" t="s">
        <v>887</v>
      </c>
      <c r="G231">
        <v>5</v>
      </c>
      <c r="H231" t="s">
        <v>908</v>
      </c>
      <c r="I231" s="3">
        <v>45329</v>
      </c>
      <c r="J231" s="3">
        <v>45409</v>
      </c>
      <c r="K231" t="s">
        <v>60</v>
      </c>
      <c r="L231" t="s">
        <v>41</v>
      </c>
    </row>
    <row r="232" spans="1:12" x14ac:dyDescent="0.3">
      <c r="A232">
        <v>1215</v>
      </c>
      <c r="B232" t="s">
        <v>32</v>
      </c>
      <c r="C232">
        <v>19</v>
      </c>
      <c r="D232" t="s">
        <v>55</v>
      </c>
      <c r="E232" t="s">
        <v>156</v>
      </c>
      <c r="F232" t="s">
        <v>888</v>
      </c>
      <c r="G232">
        <v>4</v>
      </c>
      <c r="H232" t="s">
        <v>17</v>
      </c>
      <c r="I232" s="3">
        <v>45319</v>
      </c>
      <c r="J232" s="3">
        <v>45437</v>
      </c>
      <c r="K232" t="s">
        <v>40</v>
      </c>
      <c r="L232" t="s">
        <v>31</v>
      </c>
    </row>
    <row r="233" spans="1:12" x14ac:dyDescent="0.3">
      <c r="A233">
        <v>1197</v>
      </c>
      <c r="B233" t="s">
        <v>22</v>
      </c>
      <c r="C233">
        <v>25</v>
      </c>
      <c r="D233" t="s">
        <v>24</v>
      </c>
      <c r="E233" t="s">
        <v>25</v>
      </c>
      <c r="F233" t="s">
        <v>889</v>
      </c>
      <c r="G233">
        <v>1</v>
      </c>
      <c r="H233" t="s">
        <v>76</v>
      </c>
      <c r="I233" s="3">
        <v>45470</v>
      </c>
      <c r="J233" s="3">
        <v>45397</v>
      </c>
      <c r="K233" t="s">
        <v>60</v>
      </c>
      <c r="L233" t="s">
        <v>21</v>
      </c>
    </row>
    <row r="234" spans="1:12" x14ac:dyDescent="0.3">
      <c r="A234">
        <v>1097</v>
      </c>
      <c r="B234" t="s">
        <v>22</v>
      </c>
      <c r="C234">
        <v>18</v>
      </c>
      <c r="D234" t="s">
        <v>55</v>
      </c>
      <c r="E234" t="s">
        <v>84</v>
      </c>
      <c r="F234" t="s">
        <v>890</v>
      </c>
      <c r="G234">
        <v>4</v>
      </c>
      <c r="H234" t="s">
        <v>908</v>
      </c>
      <c r="I234" s="3">
        <v>45462</v>
      </c>
      <c r="J234" s="3">
        <v>45407</v>
      </c>
      <c r="K234" t="s">
        <v>53</v>
      </c>
      <c r="L234" t="s">
        <v>78</v>
      </c>
    </row>
    <row r="235" spans="1:12" x14ac:dyDescent="0.3">
      <c r="A235">
        <v>1050</v>
      </c>
      <c r="B235" t="s">
        <v>136</v>
      </c>
      <c r="C235">
        <v>19</v>
      </c>
      <c r="D235" t="s">
        <v>24</v>
      </c>
      <c r="E235" t="s">
        <v>25</v>
      </c>
      <c r="F235" t="s">
        <v>891</v>
      </c>
      <c r="G235">
        <v>5</v>
      </c>
      <c r="H235" t="s">
        <v>908</v>
      </c>
      <c r="I235" s="3">
        <v>45450</v>
      </c>
      <c r="J235" s="3">
        <v>45387</v>
      </c>
      <c r="K235" t="s">
        <v>40</v>
      </c>
      <c r="L235" t="s">
        <v>116</v>
      </c>
    </row>
    <row r="236" spans="1:12" x14ac:dyDescent="0.3">
      <c r="A236">
        <v>1357</v>
      </c>
      <c r="B236" t="s">
        <v>117</v>
      </c>
      <c r="C236">
        <v>25</v>
      </c>
      <c r="D236" t="s">
        <v>24</v>
      </c>
      <c r="E236" t="s">
        <v>84</v>
      </c>
      <c r="F236" t="s">
        <v>892</v>
      </c>
      <c r="G236">
        <v>1</v>
      </c>
      <c r="H236" t="s">
        <v>76</v>
      </c>
      <c r="I236" s="3">
        <v>45313</v>
      </c>
      <c r="J236" s="3">
        <v>45408</v>
      </c>
      <c r="K236" t="s">
        <v>33</v>
      </c>
      <c r="L236" t="s">
        <v>78</v>
      </c>
    </row>
    <row r="237" spans="1:12" x14ac:dyDescent="0.3">
      <c r="A237">
        <v>1130</v>
      </c>
      <c r="B237" t="s">
        <v>22</v>
      </c>
      <c r="C237">
        <v>20</v>
      </c>
      <c r="D237" t="s">
        <v>659</v>
      </c>
      <c r="E237" t="s">
        <v>156</v>
      </c>
      <c r="F237" t="s">
        <v>893</v>
      </c>
      <c r="G237">
        <v>3</v>
      </c>
      <c r="H237" t="s">
        <v>28</v>
      </c>
      <c r="I237" s="3">
        <v>45340</v>
      </c>
      <c r="J237" s="3">
        <v>45448</v>
      </c>
      <c r="K237" t="s">
        <v>40</v>
      </c>
      <c r="L237" t="s">
        <v>21</v>
      </c>
    </row>
    <row r="238" spans="1:12" x14ac:dyDescent="0.3">
      <c r="A238">
        <v>1146</v>
      </c>
      <c r="B238" t="s">
        <v>32</v>
      </c>
      <c r="C238">
        <v>21</v>
      </c>
      <c r="D238" t="s">
        <v>55</v>
      </c>
      <c r="E238" t="s">
        <v>25</v>
      </c>
      <c r="F238" t="s">
        <v>894</v>
      </c>
      <c r="G238">
        <v>2</v>
      </c>
      <c r="H238" t="s">
        <v>28</v>
      </c>
      <c r="I238" s="3">
        <v>45398</v>
      </c>
      <c r="J238" s="3">
        <v>45354</v>
      </c>
      <c r="K238" t="s">
        <v>60</v>
      </c>
      <c r="L238" t="s">
        <v>54</v>
      </c>
    </row>
    <row r="239" spans="1:12" x14ac:dyDescent="0.3">
      <c r="A239">
        <v>1302</v>
      </c>
      <c r="B239" t="s">
        <v>74</v>
      </c>
      <c r="C239">
        <v>23</v>
      </c>
      <c r="D239" t="s">
        <v>24</v>
      </c>
      <c r="E239" t="s">
        <v>156</v>
      </c>
      <c r="F239" t="s">
        <v>895</v>
      </c>
      <c r="G239">
        <v>5</v>
      </c>
      <c r="H239" t="s">
        <v>17</v>
      </c>
      <c r="I239" s="3">
        <v>45359</v>
      </c>
      <c r="J239" s="3">
        <v>45448</v>
      </c>
      <c r="K239" t="s">
        <v>40</v>
      </c>
      <c r="L239" t="s">
        <v>21</v>
      </c>
    </row>
    <row r="240" spans="1:12" x14ac:dyDescent="0.3">
      <c r="A240">
        <v>1045</v>
      </c>
      <c r="B240" t="s">
        <v>22</v>
      </c>
      <c r="C240">
        <v>0</v>
      </c>
      <c r="D240" t="s">
        <v>55</v>
      </c>
      <c r="E240" t="s">
        <v>156</v>
      </c>
      <c r="F240" t="s">
        <v>896</v>
      </c>
      <c r="G240">
        <v>5</v>
      </c>
      <c r="H240" t="s">
        <v>17</v>
      </c>
      <c r="I240" s="3">
        <v>45332</v>
      </c>
      <c r="J240" s="3">
        <v>45314</v>
      </c>
      <c r="K240" t="s">
        <v>33</v>
      </c>
      <c r="L240" t="s">
        <v>116</v>
      </c>
    </row>
    <row r="241" spans="1:12" x14ac:dyDescent="0.3">
      <c r="A241">
        <v>1441</v>
      </c>
      <c r="B241" t="s">
        <v>155</v>
      </c>
      <c r="C241">
        <v>23</v>
      </c>
      <c r="D241" t="s">
        <v>55</v>
      </c>
      <c r="E241" t="s">
        <v>25</v>
      </c>
      <c r="F241" t="s">
        <v>897</v>
      </c>
      <c r="G241">
        <v>3</v>
      </c>
      <c r="H241" t="s">
        <v>28</v>
      </c>
      <c r="I241" s="3">
        <v>45440</v>
      </c>
      <c r="J241" s="3">
        <v>45567</v>
      </c>
      <c r="K241" t="s">
        <v>20</v>
      </c>
      <c r="L241" t="s">
        <v>31</v>
      </c>
    </row>
    <row r="242" spans="1:12" x14ac:dyDescent="0.3">
      <c r="A242">
        <v>1419</v>
      </c>
      <c r="B242" t="s">
        <v>120</v>
      </c>
      <c r="C242">
        <v>18</v>
      </c>
      <c r="D242" t="s">
        <v>55</v>
      </c>
      <c r="E242" t="s">
        <v>25</v>
      </c>
      <c r="F242" t="s">
        <v>898</v>
      </c>
      <c r="G242">
        <v>5</v>
      </c>
      <c r="H242" t="s">
        <v>17</v>
      </c>
      <c r="I242" s="3">
        <v>45450</v>
      </c>
      <c r="J242" s="3">
        <v>45449</v>
      </c>
      <c r="K242" t="s">
        <v>33</v>
      </c>
      <c r="L242" t="s">
        <v>31</v>
      </c>
    </row>
    <row r="243" spans="1:12" x14ac:dyDescent="0.3">
      <c r="A243">
        <v>1018</v>
      </c>
      <c r="B243" t="s">
        <v>120</v>
      </c>
      <c r="C243">
        <v>20</v>
      </c>
      <c r="D243" t="s">
        <v>24</v>
      </c>
      <c r="E243" t="s">
        <v>156</v>
      </c>
      <c r="F243" t="s">
        <v>899</v>
      </c>
      <c r="G243">
        <v>5</v>
      </c>
      <c r="H243" t="s">
        <v>28</v>
      </c>
      <c r="I243" s="3">
        <v>45415</v>
      </c>
      <c r="J243" s="3">
        <v>45384</v>
      </c>
      <c r="K243" t="s">
        <v>60</v>
      </c>
      <c r="L243" t="s">
        <v>116</v>
      </c>
    </row>
    <row r="244" spans="1:12" x14ac:dyDescent="0.3">
      <c r="A244">
        <v>1475</v>
      </c>
      <c r="B244" t="s">
        <v>22</v>
      </c>
      <c r="C244">
        <v>23</v>
      </c>
      <c r="D244" t="s">
        <v>55</v>
      </c>
      <c r="E244" t="s">
        <v>167</v>
      </c>
      <c r="F244" t="s">
        <v>900</v>
      </c>
      <c r="G244">
        <v>4</v>
      </c>
      <c r="H244" t="s">
        <v>908</v>
      </c>
      <c r="I244" s="3">
        <v>45316</v>
      </c>
      <c r="J244" s="3">
        <v>45399</v>
      </c>
      <c r="K244" t="s">
        <v>33</v>
      </c>
      <c r="L244" t="s">
        <v>54</v>
      </c>
    </row>
    <row r="245" spans="1:12" x14ac:dyDescent="0.3">
      <c r="A245">
        <v>1174</v>
      </c>
      <c r="B245" t="s">
        <v>22</v>
      </c>
      <c r="C245">
        <v>0</v>
      </c>
      <c r="D245" t="s">
        <v>55</v>
      </c>
      <c r="E245" t="s">
        <v>25</v>
      </c>
      <c r="F245" t="s">
        <v>901</v>
      </c>
      <c r="G245">
        <v>0</v>
      </c>
      <c r="H245" t="s">
        <v>17</v>
      </c>
      <c r="I245" s="3">
        <v>45390</v>
      </c>
      <c r="J245" s="3">
        <v>45400</v>
      </c>
      <c r="K245" t="s">
        <v>96</v>
      </c>
      <c r="L245" t="s">
        <v>41</v>
      </c>
    </row>
    <row r="246" spans="1:12" x14ac:dyDescent="0.3">
      <c r="A246">
        <v>1438</v>
      </c>
      <c r="B246" t="s">
        <v>12</v>
      </c>
      <c r="C246">
        <v>19</v>
      </c>
      <c r="D246" t="s">
        <v>659</v>
      </c>
      <c r="E246" t="s">
        <v>84</v>
      </c>
      <c r="F246" t="s">
        <v>902</v>
      </c>
      <c r="G246">
        <v>3</v>
      </c>
      <c r="H246" t="s">
        <v>17</v>
      </c>
      <c r="I246" s="3">
        <v>45465</v>
      </c>
      <c r="J246" s="3">
        <v>45509</v>
      </c>
      <c r="K246" t="s">
        <v>60</v>
      </c>
      <c r="L246" t="s">
        <v>54</v>
      </c>
    </row>
    <row r="247" spans="1:12" x14ac:dyDescent="0.3">
      <c r="A247">
        <v>1073</v>
      </c>
      <c r="B247" t="s">
        <v>107</v>
      </c>
      <c r="C247">
        <v>22</v>
      </c>
      <c r="D247" t="s">
        <v>24</v>
      </c>
      <c r="E247" t="s">
        <v>156</v>
      </c>
      <c r="F247" t="s">
        <v>903</v>
      </c>
      <c r="G247">
        <v>2</v>
      </c>
      <c r="H247" t="s">
        <v>17</v>
      </c>
      <c r="I247" s="3">
        <v>45358</v>
      </c>
      <c r="J247" s="3">
        <v>45293</v>
      </c>
      <c r="K247" t="s">
        <v>33</v>
      </c>
      <c r="L247" t="s">
        <v>41</v>
      </c>
    </row>
    <row r="248" spans="1:12" x14ac:dyDescent="0.3">
      <c r="A248">
        <v>1465</v>
      </c>
      <c r="B248" t="s">
        <v>47</v>
      </c>
      <c r="C248">
        <v>25</v>
      </c>
      <c r="D248" t="s">
        <v>659</v>
      </c>
      <c r="E248" t="s">
        <v>167</v>
      </c>
      <c r="F248" t="s">
        <v>904</v>
      </c>
      <c r="G248">
        <v>5</v>
      </c>
      <c r="H248" t="s">
        <v>908</v>
      </c>
      <c r="I248" s="3">
        <v>45343</v>
      </c>
      <c r="J248" s="3">
        <v>45364</v>
      </c>
      <c r="K248" t="s">
        <v>33</v>
      </c>
      <c r="L248" t="s">
        <v>78</v>
      </c>
    </row>
    <row r="249" spans="1:12" x14ac:dyDescent="0.3">
      <c r="A249">
        <v>1062</v>
      </c>
      <c r="B249" t="s">
        <v>107</v>
      </c>
      <c r="C249">
        <v>22</v>
      </c>
      <c r="D249" t="s">
        <v>659</v>
      </c>
      <c r="E249" t="s">
        <v>156</v>
      </c>
      <c r="F249" t="s">
        <v>905</v>
      </c>
      <c r="G249">
        <v>4</v>
      </c>
      <c r="H249" t="s">
        <v>28</v>
      </c>
      <c r="I249" s="3">
        <v>45388</v>
      </c>
      <c r="J249" s="3">
        <v>45365</v>
      </c>
      <c r="K249" t="s">
        <v>96</v>
      </c>
      <c r="L249" t="s">
        <v>21</v>
      </c>
    </row>
    <row r="250" spans="1:12" x14ac:dyDescent="0.3">
      <c r="A250">
        <v>1195</v>
      </c>
      <c r="B250" t="s">
        <v>107</v>
      </c>
      <c r="C250">
        <v>25</v>
      </c>
      <c r="D250" t="s">
        <v>24</v>
      </c>
      <c r="E250" t="s">
        <v>84</v>
      </c>
      <c r="F250" t="s">
        <v>906</v>
      </c>
      <c r="G250">
        <v>3</v>
      </c>
      <c r="H250" t="s">
        <v>908</v>
      </c>
      <c r="I250" s="3">
        <v>45348</v>
      </c>
      <c r="J250" s="3">
        <v>45345</v>
      </c>
      <c r="K250" t="s">
        <v>60</v>
      </c>
      <c r="L250" t="s">
        <v>61</v>
      </c>
    </row>
    <row r="251" spans="1:12" x14ac:dyDescent="0.3">
      <c r="A251">
        <v>1139</v>
      </c>
      <c r="B251" t="s">
        <v>155</v>
      </c>
      <c r="C251">
        <v>22</v>
      </c>
      <c r="D251" t="s">
        <v>55</v>
      </c>
      <c r="E251" t="s">
        <v>167</v>
      </c>
      <c r="F251" t="s">
        <v>907</v>
      </c>
      <c r="G251">
        <v>5</v>
      </c>
      <c r="H251" t="s">
        <v>908</v>
      </c>
      <c r="I251" s="3">
        <v>45314</v>
      </c>
      <c r="J251" s="3">
        <v>45309</v>
      </c>
      <c r="K251" t="s">
        <v>20</v>
      </c>
      <c r="L251" t="s">
        <v>54</v>
      </c>
    </row>
    <row r="252" spans="1:12" x14ac:dyDescent="0.3">
      <c r="A252">
        <v>1365</v>
      </c>
      <c r="B252" t="s">
        <v>12</v>
      </c>
      <c r="C252">
        <v>20</v>
      </c>
      <c r="D252" t="s">
        <v>55</v>
      </c>
      <c r="E252" t="s">
        <v>167</v>
      </c>
      <c r="F252" t="s">
        <v>657</v>
      </c>
      <c r="G252">
        <v>4</v>
      </c>
      <c r="H252" t="s">
        <v>17</v>
      </c>
      <c r="I252" s="3">
        <v>45379</v>
      </c>
      <c r="J252" s="3">
        <v>45330</v>
      </c>
      <c r="K252" t="s">
        <v>20</v>
      </c>
      <c r="L252" t="s">
        <v>21</v>
      </c>
    </row>
    <row r="253" spans="1:12" x14ac:dyDescent="0.3">
      <c r="A253">
        <v>1382</v>
      </c>
      <c r="B253" t="s">
        <v>22</v>
      </c>
      <c r="C253">
        <v>0</v>
      </c>
      <c r="D253" t="s">
        <v>24</v>
      </c>
      <c r="E253" t="s">
        <v>25</v>
      </c>
      <c r="F253" t="s">
        <v>658</v>
      </c>
      <c r="G253">
        <v>5</v>
      </c>
      <c r="H253" t="s">
        <v>28</v>
      </c>
      <c r="I253" s="3">
        <v>45439</v>
      </c>
      <c r="J253" s="3">
        <v>45296</v>
      </c>
      <c r="K253" t="s">
        <v>20</v>
      </c>
      <c r="L253" t="s">
        <v>31</v>
      </c>
    </row>
    <row r="254" spans="1:12" x14ac:dyDescent="0.3">
      <c r="A254">
        <v>1322</v>
      </c>
      <c r="B254" t="s">
        <v>32</v>
      </c>
      <c r="C254">
        <v>25</v>
      </c>
      <c r="D254" t="s">
        <v>659</v>
      </c>
      <c r="E254" t="s">
        <v>156</v>
      </c>
      <c r="F254" t="s">
        <v>660</v>
      </c>
      <c r="G254">
        <v>2</v>
      </c>
      <c r="H254" t="s">
        <v>28</v>
      </c>
      <c r="I254" s="3">
        <v>45354</v>
      </c>
      <c r="J254" s="3">
        <v>45334</v>
      </c>
      <c r="K254" t="s">
        <v>40</v>
      </c>
      <c r="L254" t="s">
        <v>41</v>
      </c>
    </row>
    <row r="255" spans="1:12" x14ac:dyDescent="0.3">
      <c r="A255">
        <v>1476</v>
      </c>
      <c r="B255" t="s">
        <v>12</v>
      </c>
      <c r="C255">
        <v>21</v>
      </c>
      <c r="D255" t="s">
        <v>55</v>
      </c>
      <c r="E255" t="s">
        <v>25</v>
      </c>
      <c r="F255" t="s">
        <v>661</v>
      </c>
      <c r="G255">
        <v>0</v>
      </c>
      <c r="H255" t="s">
        <v>17</v>
      </c>
      <c r="I255" s="3">
        <v>45426</v>
      </c>
      <c r="J255" s="3">
        <v>45508</v>
      </c>
      <c r="K255" t="s">
        <v>33</v>
      </c>
      <c r="L255" t="s">
        <v>41</v>
      </c>
    </row>
    <row r="256" spans="1:12" x14ac:dyDescent="0.3">
      <c r="A256">
        <v>1098</v>
      </c>
      <c r="B256" t="s">
        <v>47</v>
      </c>
      <c r="C256">
        <v>19</v>
      </c>
      <c r="D256" t="s">
        <v>659</v>
      </c>
      <c r="E256" t="s">
        <v>25</v>
      </c>
      <c r="F256" t="s">
        <v>662</v>
      </c>
      <c r="G256">
        <v>1</v>
      </c>
      <c r="H256" t="s">
        <v>17</v>
      </c>
      <c r="I256" s="3">
        <v>45300</v>
      </c>
      <c r="J256" s="3">
        <v>45319</v>
      </c>
      <c r="K256" t="s">
        <v>53</v>
      </c>
      <c r="L256" t="s">
        <v>54</v>
      </c>
    </row>
    <row r="257" spans="1:12" x14ac:dyDescent="0.3">
      <c r="A257">
        <v>1230</v>
      </c>
      <c r="B257" t="s">
        <v>12</v>
      </c>
      <c r="C257">
        <v>21</v>
      </c>
      <c r="D257" t="s">
        <v>55</v>
      </c>
      <c r="E257" t="s">
        <v>25</v>
      </c>
      <c r="F257" t="s">
        <v>663</v>
      </c>
      <c r="G257">
        <v>5</v>
      </c>
      <c r="H257" t="s">
        <v>17</v>
      </c>
      <c r="I257" s="3">
        <v>45370</v>
      </c>
      <c r="J257" s="3">
        <v>45399</v>
      </c>
      <c r="K257" t="s">
        <v>60</v>
      </c>
      <c r="L257" t="s">
        <v>61</v>
      </c>
    </row>
    <row r="258" spans="1:12" x14ac:dyDescent="0.3">
      <c r="A258">
        <v>1017</v>
      </c>
      <c r="B258" t="s">
        <v>12</v>
      </c>
      <c r="C258">
        <v>22</v>
      </c>
      <c r="D258" t="s">
        <v>24</v>
      </c>
      <c r="E258" t="s">
        <v>84</v>
      </c>
      <c r="F258" t="s">
        <v>664</v>
      </c>
      <c r="G258">
        <v>5</v>
      </c>
      <c r="H258" t="s">
        <v>28</v>
      </c>
      <c r="I258" s="3">
        <v>45317</v>
      </c>
      <c r="J258" s="3">
        <v>45510</v>
      </c>
      <c r="K258" t="s">
        <v>53</v>
      </c>
      <c r="L258" t="s">
        <v>21</v>
      </c>
    </row>
    <row r="259" spans="1:12" x14ac:dyDescent="0.3">
      <c r="A259">
        <v>1083</v>
      </c>
      <c r="B259" t="s">
        <v>32</v>
      </c>
      <c r="C259">
        <v>21</v>
      </c>
      <c r="D259" t="s">
        <v>659</v>
      </c>
      <c r="E259" t="s">
        <v>25</v>
      </c>
      <c r="F259" t="s">
        <v>665</v>
      </c>
      <c r="G259">
        <v>3</v>
      </c>
      <c r="H259" t="s">
        <v>28</v>
      </c>
      <c r="I259" s="3">
        <v>45399</v>
      </c>
      <c r="J259" s="3">
        <v>45567</v>
      </c>
      <c r="K259" t="s">
        <v>33</v>
      </c>
      <c r="L259" t="s">
        <v>31</v>
      </c>
    </row>
    <row r="260" spans="1:12" x14ac:dyDescent="0.3">
      <c r="A260">
        <v>1106</v>
      </c>
      <c r="B260" t="s">
        <v>74</v>
      </c>
      <c r="C260">
        <v>24</v>
      </c>
      <c r="D260" t="s">
        <v>24</v>
      </c>
      <c r="E260" t="s">
        <v>156</v>
      </c>
      <c r="F260" t="s">
        <v>666</v>
      </c>
      <c r="G260">
        <v>3</v>
      </c>
      <c r="H260" t="s">
        <v>76</v>
      </c>
      <c r="I260" s="3">
        <v>45316</v>
      </c>
      <c r="J260" s="3">
        <v>45317</v>
      </c>
      <c r="K260" t="s">
        <v>40</v>
      </c>
      <c r="L260" t="s">
        <v>78</v>
      </c>
    </row>
    <row r="261" spans="1:12" x14ac:dyDescent="0.3">
      <c r="A261">
        <v>1123</v>
      </c>
      <c r="B261" t="s">
        <v>22</v>
      </c>
      <c r="C261">
        <v>20</v>
      </c>
      <c r="D261" t="s">
        <v>55</v>
      </c>
      <c r="E261" t="s">
        <v>84</v>
      </c>
      <c r="F261" t="s">
        <v>667</v>
      </c>
      <c r="G261">
        <v>3</v>
      </c>
      <c r="H261" t="s">
        <v>17</v>
      </c>
      <c r="I261" s="3">
        <v>45444</v>
      </c>
      <c r="J261" s="3">
        <v>45365</v>
      </c>
      <c r="K261" t="s">
        <v>53</v>
      </c>
      <c r="L261" t="s">
        <v>41</v>
      </c>
    </row>
    <row r="262" spans="1:12" x14ac:dyDescent="0.3">
      <c r="A262">
        <v>1057</v>
      </c>
      <c r="B262" t="s">
        <v>32</v>
      </c>
      <c r="C262">
        <v>21</v>
      </c>
      <c r="D262" t="s">
        <v>24</v>
      </c>
      <c r="E262" t="s">
        <v>84</v>
      </c>
      <c r="F262" t="s">
        <v>668</v>
      </c>
      <c r="G262">
        <v>1</v>
      </c>
      <c r="H262" t="s">
        <v>76</v>
      </c>
      <c r="I262" s="3">
        <v>45394</v>
      </c>
      <c r="J262" s="3">
        <v>45600</v>
      </c>
      <c r="K262" t="s">
        <v>53</v>
      </c>
      <c r="L262" t="s">
        <v>21</v>
      </c>
    </row>
    <row r="263" spans="1:12" x14ac:dyDescent="0.3">
      <c r="A263">
        <v>1214</v>
      </c>
      <c r="B263" t="s">
        <v>22</v>
      </c>
      <c r="C263">
        <v>19</v>
      </c>
      <c r="D263" t="s">
        <v>55</v>
      </c>
      <c r="E263" t="s">
        <v>84</v>
      </c>
      <c r="F263" t="s">
        <v>669</v>
      </c>
      <c r="G263">
        <v>0</v>
      </c>
      <c r="H263" t="s">
        <v>908</v>
      </c>
      <c r="I263" s="3">
        <v>45310</v>
      </c>
      <c r="J263" s="3">
        <v>45439</v>
      </c>
      <c r="K263" t="s">
        <v>40</v>
      </c>
      <c r="L263" t="s">
        <v>54</v>
      </c>
    </row>
    <row r="264" spans="1:12" x14ac:dyDescent="0.3">
      <c r="A264">
        <v>1225</v>
      </c>
      <c r="B264" t="s">
        <v>32</v>
      </c>
      <c r="C264">
        <v>22</v>
      </c>
      <c r="D264" t="s">
        <v>55</v>
      </c>
      <c r="E264" t="s">
        <v>25</v>
      </c>
      <c r="F264" t="s">
        <v>670</v>
      </c>
      <c r="G264">
        <v>5</v>
      </c>
      <c r="H264" t="s">
        <v>28</v>
      </c>
      <c r="I264" s="3">
        <v>45317</v>
      </c>
      <c r="J264" s="3">
        <v>45375</v>
      </c>
      <c r="K264" t="s">
        <v>96</v>
      </c>
      <c r="L264" t="s">
        <v>21</v>
      </c>
    </row>
    <row r="265" spans="1:12" x14ac:dyDescent="0.3">
      <c r="A265">
        <v>1096</v>
      </c>
      <c r="B265" t="s">
        <v>47</v>
      </c>
      <c r="C265">
        <v>19</v>
      </c>
      <c r="D265" t="s">
        <v>55</v>
      </c>
      <c r="E265" t="s">
        <v>25</v>
      </c>
      <c r="F265" t="s">
        <v>671</v>
      </c>
      <c r="G265">
        <v>5</v>
      </c>
      <c r="H265" t="s">
        <v>908</v>
      </c>
      <c r="I265" s="3">
        <v>45368</v>
      </c>
      <c r="J265" s="3">
        <v>45352</v>
      </c>
      <c r="K265" t="s">
        <v>96</v>
      </c>
      <c r="L265" t="s">
        <v>101</v>
      </c>
    </row>
    <row r="266" spans="1:12" x14ac:dyDescent="0.3">
      <c r="A266">
        <v>1113</v>
      </c>
      <c r="B266" t="s">
        <v>47</v>
      </c>
      <c r="C266">
        <v>18</v>
      </c>
      <c r="D266" t="s">
        <v>24</v>
      </c>
      <c r="E266" t="s">
        <v>25</v>
      </c>
      <c r="F266" t="s">
        <v>672</v>
      </c>
      <c r="G266">
        <v>1</v>
      </c>
      <c r="H266" t="s">
        <v>908</v>
      </c>
      <c r="I266" s="3">
        <v>45344</v>
      </c>
      <c r="J266" s="3">
        <v>45309</v>
      </c>
      <c r="K266" t="s">
        <v>33</v>
      </c>
      <c r="L266" t="s">
        <v>61</v>
      </c>
    </row>
  </sheetData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0903E-7583-49FC-A90D-B3F848871D38}">
  <dimension ref="A1:L266"/>
  <sheetViews>
    <sheetView topLeftCell="C1" workbookViewId="0">
      <selection activeCell="I1" sqref="I1:I1048576"/>
    </sheetView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1.44140625" bestFit="1" customWidth="1"/>
    <col min="10" max="10" width="20.33203125" bestFit="1" customWidth="1"/>
    <col min="11" max="11" width="16.5546875" bestFit="1" customWidth="1"/>
    <col min="12" max="12" width="10.441406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>
        <v>1365</v>
      </c>
      <c r="B2" t="s">
        <v>12</v>
      </c>
      <c r="C2">
        <v>20</v>
      </c>
      <c r="D2" t="s">
        <v>55</v>
      </c>
      <c r="E2" t="s">
        <v>167</v>
      </c>
      <c r="F2" t="s">
        <v>657</v>
      </c>
      <c r="G2">
        <v>4</v>
      </c>
      <c r="H2" t="s">
        <v>17</v>
      </c>
      <c r="I2" s="2">
        <v>45379</v>
      </c>
      <c r="J2" t="s">
        <v>19</v>
      </c>
      <c r="K2" t="s">
        <v>20</v>
      </c>
      <c r="L2" t="s">
        <v>21</v>
      </c>
    </row>
    <row r="3" spans="1:12" x14ac:dyDescent="0.3">
      <c r="A3">
        <v>1382</v>
      </c>
      <c r="B3" t="s">
        <v>22</v>
      </c>
      <c r="C3">
        <v>0</v>
      </c>
      <c r="D3" t="s">
        <v>24</v>
      </c>
      <c r="E3" t="s">
        <v>25</v>
      </c>
      <c r="F3" t="s">
        <v>658</v>
      </c>
      <c r="G3">
        <v>5</v>
      </c>
      <c r="H3" t="s">
        <v>28</v>
      </c>
      <c r="I3" s="2">
        <v>45439</v>
      </c>
      <c r="J3" t="s">
        <v>30</v>
      </c>
      <c r="K3" t="s">
        <v>20</v>
      </c>
      <c r="L3" t="s">
        <v>31</v>
      </c>
    </row>
    <row r="4" spans="1:12" x14ac:dyDescent="0.3">
      <c r="A4">
        <v>1322</v>
      </c>
      <c r="B4" t="s">
        <v>32</v>
      </c>
      <c r="C4">
        <v>25</v>
      </c>
      <c r="D4" t="s">
        <v>659</v>
      </c>
      <c r="E4" t="s">
        <v>156</v>
      </c>
      <c r="F4" t="s">
        <v>660</v>
      </c>
      <c r="G4">
        <v>2</v>
      </c>
      <c r="H4" t="s">
        <v>28</v>
      </c>
      <c r="I4" s="2">
        <v>45354</v>
      </c>
      <c r="J4" t="s">
        <v>39</v>
      </c>
      <c r="K4" t="s">
        <v>40</v>
      </c>
      <c r="L4" t="s">
        <v>41</v>
      </c>
    </row>
    <row r="5" spans="1:12" x14ac:dyDescent="0.3">
      <c r="A5">
        <v>1476</v>
      </c>
      <c r="B5" t="s">
        <v>12</v>
      </c>
      <c r="C5">
        <v>21</v>
      </c>
      <c r="D5" t="s">
        <v>55</v>
      </c>
      <c r="E5" t="s">
        <v>25</v>
      </c>
      <c r="F5" t="s">
        <v>661</v>
      </c>
      <c r="G5">
        <v>0</v>
      </c>
      <c r="H5" t="s">
        <v>17</v>
      </c>
      <c r="I5" s="2">
        <v>45426</v>
      </c>
      <c r="J5" t="s">
        <v>46</v>
      </c>
      <c r="K5" t="s">
        <v>33</v>
      </c>
      <c r="L5" t="s">
        <v>41</v>
      </c>
    </row>
    <row r="6" spans="1:12" x14ac:dyDescent="0.3">
      <c r="A6">
        <v>1098</v>
      </c>
      <c r="B6" t="s">
        <v>47</v>
      </c>
      <c r="C6">
        <v>19</v>
      </c>
      <c r="D6" t="s">
        <v>659</v>
      </c>
      <c r="E6" t="s">
        <v>25</v>
      </c>
      <c r="F6" t="s">
        <v>662</v>
      </c>
      <c r="G6">
        <v>1</v>
      </c>
      <c r="H6" t="s">
        <v>17</v>
      </c>
      <c r="I6" s="2">
        <v>45300</v>
      </c>
      <c r="J6" t="s">
        <v>52</v>
      </c>
      <c r="K6" t="s">
        <v>53</v>
      </c>
      <c r="L6" t="s">
        <v>54</v>
      </c>
    </row>
    <row r="7" spans="1:12" x14ac:dyDescent="0.3">
      <c r="A7">
        <v>1230</v>
      </c>
      <c r="B7" t="s">
        <v>12</v>
      </c>
      <c r="C7">
        <v>21</v>
      </c>
      <c r="D7" t="s">
        <v>55</v>
      </c>
      <c r="E7" t="s">
        <v>25</v>
      </c>
      <c r="F7" t="s">
        <v>663</v>
      </c>
      <c r="G7">
        <v>5</v>
      </c>
      <c r="H7" t="s">
        <v>17</v>
      </c>
      <c r="I7" s="2">
        <v>45370</v>
      </c>
      <c r="J7" t="s">
        <v>59</v>
      </c>
      <c r="K7" t="s">
        <v>60</v>
      </c>
      <c r="L7" t="s">
        <v>61</v>
      </c>
    </row>
    <row r="8" spans="1:12" x14ac:dyDescent="0.3">
      <c r="A8">
        <v>1017</v>
      </c>
      <c r="B8" t="s">
        <v>12</v>
      </c>
      <c r="C8">
        <v>22</v>
      </c>
      <c r="D8" t="s">
        <v>24</v>
      </c>
      <c r="E8" t="s">
        <v>84</v>
      </c>
      <c r="F8" t="s">
        <v>664</v>
      </c>
      <c r="G8">
        <v>5</v>
      </c>
      <c r="H8" t="s">
        <v>28</v>
      </c>
      <c r="I8" s="2">
        <v>45317</v>
      </c>
      <c r="J8" t="s">
        <v>68</v>
      </c>
      <c r="K8" t="s">
        <v>53</v>
      </c>
      <c r="L8" t="s">
        <v>21</v>
      </c>
    </row>
    <row r="9" spans="1:12" x14ac:dyDescent="0.3">
      <c r="A9">
        <v>1083</v>
      </c>
      <c r="B9" t="s">
        <v>32</v>
      </c>
      <c r="C9">
        <v>21</v>
      </c>
      <c r="D9" t="s">
        <v>659</v>
      </c>
      <c r="E9" t="s">
        <v>25</v>
      </c>
      <c r="F9" t="s">
        <v>665</v>
      </c>
      <c r="G9">
        <v>3</v>
      </c>
      <c r="H9" t="s">
        <v>28</v>
      </c>
      <c r="I9" s="2">
        <v>45399</v>
      </c>
      <c r="J9" t="s">
        <v>73</v>
      </c>
      <c r="K9" t="s">
        <v>33</v>
      </c>
      <c r="L9" t="s">
        <v>31</v>
      </c>
    </row>
    <row r="10" spans="1:12" x14ac:dyDescent="0.3">
      <c r="A10">
        <v>1106</v>
      </c>
      <c r="B10" t="s">
        <v>74</v>
      </c>
      <c r="C10">
        <v>24</v>
      </c>
      <c r="D10" t="s">
        <v>24</v>
      </c>
      <c r="E10" t="s">
        <v>156</v>
      </c>
      <c r="F10" t="s">
        <v>666</v>
      </c>
      <c r="G10">
        <v>3</v>
      </c>
      <c r="H10" t="s">
        <v>76</v>
      </c>
      <c r="I10" s="2">
        <v>45316</v>
      </c>
      <c r="J10" t="s">
        <v>67</v>
      </c>
      <c r="K10" t="s">
        <v>40</v>
      </c>
      <c r="L10" t="s">
        <v>78</v>
      </c>
    </row>
    <row r="11" spans="1:12" x14ac:dyDescent="0.3">
      <c r="A11">
        <v>1123</v>
      </c>
      <c r="B11" t="s">
        <v>22</v>
      </c>
      <c r="C11">
        <v>20</v>
      </c>
      <c r="D11" t="s">
        <v>55</v>
      </c>
      <c r="E11" t="s">
        <v>84</v>
      </c>
      <c r="F11" t="s">
        <v>667</v>
      </c>
      <c r="G11">
        <v>3</v>
      </c>
      <c r="H11" t="s">
        <v>17</v>
      </c>
      <c r="I11" s="2">
        <v>45444</v>
      </c>
      <c r="J11" t="s">
        <v>83</v>
      </c>
      <c r="K11" t="s">
        <v>53</v>
      </c>
      <c r="L11" t="s">
        <v>41</v>
      </c>
    </row>
    <row r="12" spans="1:12" x14ac:dyDescent="0.3">
      <c r="A12">
        <v>1057</v>
      </c>
      <c r="B12" t="s">
        <v>32</v>
      </c>
      <c r="C12">
        <v>21</v>
      </c>
      <c r="D12" t="s">
        <v>24</v>
      </c>
      <c r="E12" t="s">
        <v>84</v>
      </c>
      <c r="F12" t="s">
        <v>668</v>
      </c>
      <c r="G12">
        <v>1</v>
      </c>
      <c r="H12" t="s">
        <v>76</v>
      </c>
      <c r="I12" s="2">
        <v>45394</v>
      </c>
      <c r="J12" t="s">
        <v>88</v>
      </c>
      <c r="K12" t="s">
        <v>53</v>
      </c>
      <c r="L12" t="s">
        <v>21</v>
      </c>
    </row>
    <row r="13" spans="1:12" x14ac:dyDescent="0.3">
      <c r="A13">
        <v>1214</v>
      </c>
      <c r="B13" t="s">
        <v>22</v>
      </c>
      <c r="C13">
        <v>19</v>
      </c>
      <c r="D13" t="s">
        <v>55</v>
      </c>
      <c r="E13" t="s">
        <v>84</v>
      </c>
      <c r="F13" t="s">
        <v>669</v>
      </c>
      <c r="G13">
        <v>0</v>
      </c>
      <c r="H13" t="s">
        <v>908</v>
      </c>
      <c r="I13" s="2">
        <v>45310</v>
      </c>
      <c r="J13" t="s">
        <v>92</v>
      </c>
      <c r="K13" t="s">
        <v>40</v>
      </c>
      <c r="L13" t="s">
        <v>54</v>
      </c>
    </row>
    <row r="14" spans="1:12" x14ac:dyDescent="0.3">
      <c r="A14">
        <v>1225</v>
      </c>
      <c r="B14" t="s">
        <v>32</v>
      </c>
      <c r="C14">
        <v>22</v>
      </c>
      <c r="D14" t="s">
        <v>55</v>
      </c>
      <c r="E14" t="s">
        <v>25</v>
      </c>
      <c r="F14" t="s">
        <v>670</v>
      </c>
      <c r="G14">
        <v>5</v>
      </c>
      <c r="H14" t="s">
        <v>28</v>
      </c>
      <c r="I14" s="2">
        <v>45317</v>
      </c>
      <c r="J14" t="s">
        <v>95</v>
      </c>
      <c r="K14" t="s">
        <v>96</v>
      </c>
      <c r="L14" t="s">
        <v>21</v>
      </c>
    </row>
    <row r="15" spans="1:12" x14ac:dyDescent="0.3">
      <c r="A15">
        <v>1096</v>
      </c>
      <c r="B15" t="s">
        <v>47</v>
      </c>
      <c r="C15">
        <v>19</v>
      </c>
      <c r="D15" t="s">
        <v>55</v>
      </c>
      <c r="E15" t="s">
        <v>25</v>
      </c>
      <c r="F15" t="s">
        <v>671</v>
      </c>
      <c r="G15">
        <v>5</v>
      </c>
      <c r="H15" t="s">
        <v>908</v>
      </c>
      <c r="I15" s="2">
        <v>45368</v>
      </c>
      <c r="J15" t="s">
        <v>100</v>
      </c>
      <c r="K15" t="s">
        <v>96</v>
      </c>
      <c r="L15" t="s">
        <v>101</v>
      </c>
    </row>
    <row r="16" spans="1:12" x14ac:dyDescent="0.3">
      <c r="A16">
        <v>1113</v>
      </c>
      <c r="B16" t="s">
        <v>47</v>
      </c>
      <c r="C16">
        <v>18</v>
      </c>
      <c r="D16" t="s">
        <v>24</v>
      </c>
      <c r="E16" t="s">
        <v>25</v>
      </c>
      <c r="F16" t="s">
        <v>672</v>
      </c>
      <c r="G16">
        <v>1</v>
      </c>
      <c r="H16" t="s">
        <v>908</v>
      </c>
      <c r="I16" s="2">
        <v>45344</v>
      </c>
      <c r="J16" t="s">
        <v>106</v>
      </c>
      <c r="K16" t="s">
        <v>33</v>
      </c>
      <c r="L16" t="s">
        <v>61</v>
      </c>
    </row>
    <row r="17" spans="1:12" x14ac:dyDescent="0.3">
      <c r="A17">
        <v>1126</v>
      </c>
      <c r="B17" t="s">
        <v>107</v>
      </c>
      <c r="C17">
        <v>20</v>
      </c>
      <c r="D17" t="s">
        <v>55</v>
      </c>
      <c r="E17" t="s">
        <v>156</v>
      </c>
      <c r="F17" t="s">
        <v>673</v>
      </c>
      <c r="G17">
        <v>5</v>
      </c>
      <c r="H17" t="s">
        <v>28</v>
      </c>
      <c r="I17" s="2">
        <v>45305</v>
      </c>
      <c r="J17" t="s">
        <v>112</v>
      </c>
      <c r="K17" t="s">
        <v>33</v>
      </c>
      <c r="L17" t="s">
        <v>54</v>
      </c>
    </row>
    <row r="18" spans="1:12" x14ac:dyDescent="0.3">
      <c r="A18">
        <v>1047</v>
      </c>
      <c r="B18" t="s">
        <v>32</v>
      </c>
      <c r="C18">
        <v>21</v>
      </c>
      <c r="D18" t="s">
        <v>24</v>
      </c>
      <c r="E18" t="s">
        <v>84</v>
      </c>
      <c r="F18" t="s">
        <v>674</v>
      </c>
      <c r="G18">
        <v>5</v>
      </c>
      <c r="H18" t="s">
        <v>17</v>
      </c>
      <c r="I18" s="2">
        <v>45451</v>
      </c>
      <c r="J18" t="s">
        <v>115</v>
      </c>
      <c r="K18" t="s">
        <v>40</v>
      </c>
      <c r="L18" t="s">
        <v>116</v>
      </c>
    </row>
    <row r="19" spans="1:12" x14ac:dyDescent="0.3">
      <c r="A19">
        <v>1073</v>
      </c>
      <c r="B19" t="s">
        <v>117</v>
      </c>
      <c r="C19">
        <v>25</v>
      </c>
      <c r="D19" t="s">
        <v>24</v>
      </c>
      <c r="E19" t="s">
        <v>84</v>
      </c>
      <c r="F19" t="s">
        <v>675</v>
      </c>
      <c r="G19">
        <v>1</v>
      </c>
      <c r="H19" t="s">
        <v>76</v>
      </c>
      <c r="I19" s="2">
        <v>45379</v>
      </c>
      <c r="J19" t="s">
        <v>119</v>
      </c>
      <c r="K19" t="s">
        <v>20</v>
      </c>
      <c r="L19" t="s">
        <v>101</v>
      </c>
    </row>
    <row r="20" spans="1:12" x14ac:dyDescent="0.3">
      <c r="A20">
        <v>1032</v>
      </c>
      <c r="B20" t="s">
        <v>120</v>
      </c>
      <c r="C20">
        <v>0</v>
      </c>
      <c r="D20" t="s">
        <v>659</v>
      </c>
      <c r="E20" t="s">
        <v>25</v>
      </c>
      <c r="F20" t="s">
        <v>676</v>
      </c>
      <c r="G20">
        <v>5</v>
      </c>
      <c r="H20" t="s">
        <v>28</v>
      </c>
      <c r="I20" s="2">
        <v>45358</v>
      </c>
      <c r="J20" t="s">
        <v>124</v>
      </c>
      <c r="K20" t="s">
        <v>53</v>
      </c>
      <c r="L20" t="s">
        <v>31</v>
      </c>
    </row>
    <row r="21" spans="1:12" x14ac:dyDescent="0.3">
      <c r="A21">
        <v>1430</v>
      </c>
      <c r="B21" t="s">
        <v>22</v>
      </c>
      <c r="C21">
        <v>22</v>
      </c>
      <c r="D21" t="s">
        <v>55</v>
      </c>
      <c r="E21" t="s">
        <v>84</v>
      </c>
      <c r="F21" t="s">
        <v>677</v>
      </c>
      <c r="G21">
        <v>5</v>
      </c>
      <c r="H21" t="s">
        <v>76</v>
      </c>
      <c r="I21" s="2">
        <v>45538</v>
      </c>
      <c r="J21" t="s">
        <v>127</v>
      </c>
      <c r="K21" t="s">
        <v>53</v>
      </c>
      <c r="L21" t="s">
        <v>116</v>
      </c>
    </row>
    <row r="22" spans="1:12" x14ac:dyDescent="0.3">
      <c r="A22">
        <v>1224</v>
      </c>
      <c r="B22" t="s">
        <v>74</v>
      </c>
      <c r="C22">
        <v>0</v>
      </c>
      <c r="D22" t="s">
        <v>55</v>
      </c>
      <c r="E22" t="s">
        <v>25</v>
      </c>
      <c r="F22" t="s">
        <v>678</v>
      </c>
      <c r="G22">
        <v>1</v>
      </c>
      <c r="H22" t="s">
        <v>908</v>
      </c>
      <c r="I22" s="2">
        <v>45406</v>
      </c>
      <c r="J22" t="s">
        <v>132</v>
      </c>
      <c r="K22" t="s">
        <v>96</v>
      </c>
      <c r="L22" t="s">
        <v>54</v>
      </c>
    </row>
    <row r="23" spans="1:12" x14ac:dyDescent="0.3">
      <c r="A23">
        <v>1111</v>
      </c>
      <c r="B23" t="s">
        <v>74</v>
      </c>
      <c r="C23">
        <v>0</v>
      </c>
      <c r="D23" t="s">
        <v>24</v>
      </c>
      <c r="E23" t="s">
        <v>25</v>
      </c>
      <c r="F23" t="s">
        <v>679</v>
      </c>
      <c r="G23">
        <v>2</v>
      </c>
      <c r="H23" t="s">
        <v>17</v>
      </c>
      <c r="I23" s="2">
        <v>45303</v>
      </c>
      <c r="J23" t="s">
        <v>135</v>
      </c>
      <c r="K23" t="s">
        <v>20</v>
      </c>
      <c r="L23" t="s">
        <v>41</v>
      </c>
    </row>
    <row r="24" spans="1:12" x14ac:dyDescent="0.3">
      <c r="A24">
        <v>1409</v>
      </c>
      <c r="B24" t="s">
        <v>136</v>
      </c>
      <c r="C24">
        <v>20</v>
      </c>
      <c r="D24" t="s">
        <v>24</v>
      </c>
      <c r="E24" t="s">
        <v>84</v>
      </c>
      <c r="F24" t="s">
        <v>680</v>
      </c>
      <c r="G24">
        <v>3</v>
      </c>
      <c r="H24" t="s">
        <v>908</v>
      </c>
      <c r="I24" s="2">
        <v>45506</v>
      </c>
      <c r="J24" t="s">
        <v>139</v>
      </c>
      <c r="K24" t="s">
        <v>20</v>
      </c>
      <c r="L24" t="s">
        <v>61</v>
      </c>
    </row>
    <row r="25" spans="1:12" x14ac:dyDescent="0.3">
      <c r="A25">
        <v>1339</v>
      </c>
      <c r="B25" t="s">
        <v>136</v>
      </c>
      <c r="C25">
        <v>25</v>
      </c>
      <c r="D25" t="s">
        <v>55</v>
      </c>
      <c r="E25" t="s">
        <v>25</v>
      </c>
      <c r="F25" t="s">
        <v>681</v>
      </c>
      <c r="G25">
        <v>4</v>
      </c>
      <c r="H25" t="s">
        <v>17</v>
      </c>
      <c r="I25" s="2">
        <v>45426</v>
      </c>
      <c r="J25" t="s">
        <v>143</v>
      </c>
      <c r="K25" t="s">
        <v>96</v>
      </c>
      <c r="L25" t="s">
        <v>101</v>
      </c>
    </row>
    <row r="26" spans="1:12" x14ac:dyDescent="0.3">
      <c r="A26">
        <v>1334</v>
      </c>
      <c r="B26" t="s">
        <v>107</v>
      </c>
      <c r="C26">
        <v>22</v>
      </c>
      <c r="D26" t="s">
        <v>659</v>
      </c>
      <c r="E26" t="s">
        <v>167</v>
      </c>
      <c r="F26" t="s">
        <v>682</v>
      </c>
      <c r="G26">
        <v>4</v>
      </c>
      <c r="H26" t="s">
        <v>28</v>
      </c>
      <c r="I26" s="2">
        <v>45328</v>
      </c>
      <c r="J26" t="s">
        <v>145</v>
      </c>
      <c r="K26" t="s">
        <v>96</v>
      </c>
      <c r="L26" t="s">
        <v>41</v>
      </c>
    </row>
    <row r="27" spans="1:12" x14ac:dyDescent="0.3">
      <c r="A27">
        <v>1253</v>
      </c>
      <c r="B27" t="s">
        <v>120</v>
      </c>
      <c r="C27">
        <v>25</v>
      </c>
      <c r="D27" t="s">
        <v>24</v>
      </c>
      <c r="E27" t="s">
        <v>156</v>
      </c>
      <c r="F27" t="s">
        <v>683</v>
      </c>
      <c r="G27">
        <v>2</v>
      </c>
      <c r="H27" t="s">
        <v>17</v>
      </c>
      <c r="I27" s="2">
        <v>45374</v>
      </c>
      <c r="J27" t="s">
        <v>148</v>
      </c>
      <c r="K27" t="s">
        <v>53</v>
      </c>
      <c r="L27" t="s">
        <v>21</v>
      </c>
    </row>
    <row r="28" spans="1:12" x14ac:dyDescent="0.3">
      <c r="A28">
        <v>1420</v>
      </c>
      <c r="B28" t="s">
        <v>22</v>
      </c>
      <c r="C28">
        <v>19</v>
      </c>
      <c r="D28" t="s">
        <v>659</v>
      </c>
      <c r="E28" t="s">
        <v>25</v>
      </c>
      <c r="F28" t="s">
        <v>684</v>
      </c>
      <c r="G28">
        <v>3</v>
      </c>
      <c r="H28" t="s">
        <v>908</v>
      </c>
      <c r="I28" s="2">
        <v>45420</v>
      </c>
      <c r="J28" t="s">
        <v>151</v>
      </c>
      <c r="K28" t="s">
        <v>33</v>
      </c>
      <c r="L28" t="s">
        <v>54</v>
      </c>
    </row>
    <row r="29" spans="1:12" x14ac:dyDescent="0.3">
      <c r="A29">
        <v>1096</v>
      </c>
      <c r="B29" t="s">
        <v>22</v>
      </c>
      <c r="C29">
        <v>0</v>
      </c>
      <c r="D29" t="s">
        <v>24</v>
      </c>
      <c r="E29" t="s">
        <v>25</v>
      </c>
      <c r="F29" t="s">
        <v>685</v>
      </c>
      <c r="G29">
        <v>5</v>
      </c>
      <c r="H29" t="s">
        <v>908</v>
      </c>
      <c r="I29" s="2">
        <v>45345</v>
      </c>
      <c r="J29" t="s">
        <v>154</v>
      </c>
      <c r="K29" t="s">
        <v>33</v>
      </c>
      <c r="L29" t="s">
        <v>54</v>
      </c>
    </row>
    <row r="30" spans="1:12" x14ac:dyDescent="0.3">
      <c r="A30">
        <v>1208</v>
      </c>
      <c r="B30" t="s">
        <v>155</v>
      </c>
      <c r="C30">
        <v>22</v>
      </c>
      <c r="D30" t="s">
        <v>55</v>
      </c>
      <c r="E30" t="s">
        <v>156</v>
      </c>
      <c r="F30" t="s">
        <v>686</v>
      </c>
      <c r="G30">
        <v>5</v>
      </c>
      <c r="H30" t="s">
        <v>28</v>
      </c>
      <c r="I30" s="2">
        <v>45398</v>
      </c>
      <c r="J30" t="s">
        <v>159</v>
      </c>
      <c r="K30" t="s">
        <v>33</v>
      </c>
      <c r="L30" t="s">
        <v>101</v>
      </c>
    </row>
    <row r="31" spans="1:12" x14ac:dyDescent="0.3">
      <c r="A31">
        <v>1068</v>
      </c>
      <c r="B31" t="s">
        <v>107</v>
      </c>
      <c r="C31">
        <v>0</v>
      </c>
      <c r="D31" t="s">
        <v>24</v>
      </c>
      <c r="E31" t="s">
        <v>25</v>
      </c>
      <c r="F31" t="s">
        <v>687</v>
      </c>
      <c r="G31">
        <v>3</v>
      </c>
      <c r="H31" t="s">
        <v>17</v>
      </c>
      <c r="I31" s="2">
        <v>45366</v>
      </c>
      <c r="J31" t="s">
        <v>162</v>
      </c>
      <c r="K31" t="s">
        <v>33</v>
      </c>
      <c r="L31" t="s">
        <v>31</v>
      </c>
    </row>
    <row r="32" spans="1:12" x14ac:dyDescent="0.3">
      <c r="A32">
        <v>1305</v>
      </c>
      <c r="B32" t="s">
        <v>163</v>
      </c>
      <c r="C32">
        <v>0</v>
      </c>
      <c r="D32" t="s">
        <v>24</v>
      </c>
      <c r="E32" t="s">
        <v>156</v>
      </c>
      <c r="F32" t="s">
        <v>688</v>
      </c>
      <c r="G32">
        <v>5</v>
      </c>
      <c r="H32" t="s">
        <v>17</v>
      </c>
      <c r="I32" s="2">
        <v>45312</v>
      </c>
      <c r="J32" t="s">
        <v>166</v>
      </c>
      <c r="K32" t="s">
        <v>33</v>
      </c>
      <c r="L32" t="s">
        <v>78</v>
      </c>
    </row>
    <row r="33" spans="1:12" x14ac:dyDescent="0.3">
      <c r="A33">
        <v>1311</v>
      </c>
      <c r="B33" t="s">
        <v>107</v>
      </c>
      <c r="C33">
        <v>0</v>
      </c>
      <c r="D33" t="s">
        <v>24</v>
      </c>
      <c r="E33" t="s">
        <v>167</v>
      </c>
      <c r="F33" t="s">
        <v>689</v>
      </c>
      <c r="G33">
        <v>5</v>
      </c>
      <c r="H33" t="s">
        <v>908</v>
      </c>
      <c r="I33" s="2">
        <v>45293</v>
      </c>
      <c r="J33" t="s">
        <v>170</v>
      </c>
      <c r="K33" t="s">
        <v>60</v>
      </c>
      <c r="L33" t="s">
        <v>21</v>
      </c>
    </row>
    <row r="34" spans="1:12" x14ac:dyDescent="0.3">
      <c r="A34">
        <v>1451</v>
      </c>
      <c r="B34" t="s">
        <v>22</v>
      </c>
      <c r="C34">
        <v>25</v>
      </c>
      <c r="D34" t="s">
        <v>659</v>
      </c>
      <c r="E34" t="s">
        <v>156</v>
      </c>
      <c r="F34" t="s">
        <v>690</v>
      </c>
      <c r="G34">
        <v>4</v>
      </c>
      <c r="H34" t="s">
        <v>28</v>
      </c>
      <c r="I34" s="2">
        <v>45427</v>
      </c>
      <c r="J34" t="s">
        <v>173</v>
      </c>
      <c r="K34" t="s">
        <v>40</v>
      </c>
      <c r="L34" t="s">
        <v>78</v>
      </c>
    </row>
    <row r="35" spans="1:12" x14ac:dyDescent="0.3">
      <c r="A35">
        <v>1002</v>
      </c>
      <c r="B35" t="s">
        <v>32</v>
      </c>
      <c r="C35">
        <v>22</v>
      </c>
      <c r="D35" t="s">
        <v>659</v>
      </c>
      <c r="E35" t="s">
        <v>25</v>
      </c>
      <c r="F35" t="s">
        <v>691</v>
      </c>
      <c r="G35">
        <v>4</v>
      </c>
      <c r="H35" t="s">
        <v>76</v>
      </c>
      <c r="I35" s="2">
        <v>45308</v>
      </c>
      <c r="J35" t="s">
        <v>176</v>
      </c>
      <c r="K35" t="s">
        <v>33</v>
      </c>
      <c r="L35" t="s">
        <v>78</v>
      </c>
    </row>
    <row r="36" spans="1:12" x14ac:dyDescent="0.3">
      <c r="A36">
        <v>1340</v>
      </c>
      <c r="B36" t="s">
        <v>155</v>
      </c>
      <c r="C36">
        <v>25</v>
      </c>
      <c r="D36" t="s">
        <v>55</v>
      </c>
      <c r="E36" t="s">
        <v>167</v>
      </c>
      <c r="F36" t="s">
        <v>692</v>
      </c>
      <c r="G36">
        <v>1</v>
      </c>
      <c r="H36" t="s">
        <v>28</v>
      </c>
      <c r="I36" s="2">
        <v>45505</v>
      </c>
      <c r="J36" t="s">
        <v>179</v>
      </c>
      <c r="K36" t="s">
        <v>53</v>
      </c>
      <c r="L36" t="s">
        <v>116</v>
      </c>
    </row>
    <row r="37" spans="1:12" x14ac:dyDescent="0.3">
      <c r="A37">
        <v>1039</v>
      </c>
      <c r="B37" t="s">
        <v>12</v>
      </c>
      <c r="C37">
        <v>19</v>
      </c>
      <c r="D37" t="s">
        <v>659</v>
      </c>
      <c r="E37" t="s">
        <v>25</v>
      </c>
      <c r="F37" t="s">
        <v>693</v>
      </c>
      <c r="G37">
        <v>4</v>
      </c>
      <c r="H37" t="s">
        <v>908</v>
      </c>
      <c r="I37" s="2">
        <v>45440</v>
      </c>
      <c r="J37" t="s">
        <v>182</v>
      </c>
      <c r="K37" t="s">
        <v>33</v>
      </c>
      <c r="L37" t="s">
        <v>78</v>
      </c>
    </row>
    <row r="38" spans="1:12" x14ac:dyDescent="0.3">
      <c r="A38">
        <v>1322</v>
      </c>
      <c r="B38" t="s">
        <v>136</v>
      </c>
      <c r="C38">
        <v>0</v>
      </c>
      <c r="D38" t="s">
        <v>24</v>
      </c>
      <c r="E38" t="s">
        <v>84</v>
      </c>
      <c r="F38" t="s">
        <v>694</v>
      </c>
      <c r="G38">
        <v>4</v>
      </c>
      <c r="H38" t="s">
        <v>17</v>
      </c>
      <c r="I38" s="2">
        <v>45384</v>
      </c>
      <c r="J38" t="s">
        <v>185</v>
      </c>
      <c r="K38" t="s">
        <v>53</v>
      </c>
      <c r="L38" t="s">
        <v>54</v>
      </c>
    </row>
    <row r="39" spans="1:12" x14ac:dyDescent="0.3">
      <c r="A39">
        <v>1084</v>
      </c>
      <c r="B39" t="s">
        <v>47</v>
      </c>
      <c r="C39">
        <v>18</v>
      </c>
      <c r="D39" t="s">
        <v>55</v>
      </c>
      <c r="E39" t="s">
        <v>25</v>
      </c>
      <c r="F39" t="s">
        <v>695</v>
      </c>
      <c r="G39">
        <v>4</v>
      </c>
      <c r="H39" t="s">
        <v>908</v>
      </c>
      <c r="I39" s="2">
        <v>45438</v>
      </c>
      <c r="J39" t="s">
        <v>188</v>
      </c>
      <c r="K39" t="s">
        <v>53</v>
      </c>
      <c r="L39" t="s">
        <v>31</v>
      </c>
    </row>
    <row r="40" spans="1:12" x14ac:dyDescent="0.3">
      <c r="A40">
        <v>1047</v>
      </c>
      <c r="B40" t="s">
        <v>120</v>
      </c>
      <c r="C40">
        <v>20</v>
      </c>
      <c r="D40" t="s">
        <v>55</v>
      </c>
      <c r="E40" t="s">
        <v>25</v>
      </c>
      <c r="F40" t="s">
        <v>696</v>
      </c>
      <c r="G40">
        <v>4</v>
      </c>
      <c r="H40" t="s">
        <v>76</v>
      </c>
      <c r="I40" s="2">
        <v>45334</v>
      </c>
      <c r="J40" t="s">
        <v>191</v>
      </c>
      <c r="K40" t="s">
        <v>60</v>
      </c>
      <c r="L40" t="s">
        <v>101</v>
      </c>
    </row>
    <row r="41" spans="1:12" x14ac:dyDescent="0.3">
      <c r="A41">
        <v>1445</v>
      </c>
      <c r="B41" t="s">
        <v>47</v>
      </c>
      <c r="C41">
        <v>25</v>
      </c>
      <c r="D41" t="s">
        <v>659</v>
      </c>
      <c r="E41" t="s">
        <v>84</v>
      </c>
      <c r="F41" t="s">
        <v>697</v>
      </c>
      <c r="G41">
        <v>4</v>
      </c>
      <c r="H41" t="s">
        <v>76</v>
      </c>
      <c r="I41" s="2">
        <v>45324</v>
      </c>
      <c r="J41" t="s">
        <v>194</v>
      </c>
      <c r="K41" t="s">
        <v>40</v>
      </c>
      <c r="L41" t="s">
        <v>31</v>
      </c>
    </row>
    <row r="42" spans="1:12" x14ac:dyDescent="0.3">
      <c r="A42">
        <v>1176</v>
      </c>
      <c r="B42" t="s">
        <v>74</v>
      </c>
      <c r="C42">
        <v>22</v>
      </c>
      <c r="D42" t="s">
        <v>24</v>
      </c>
      <c r="E42" t="s">
        <v>25</v>
      </c>
      <c r="F42" t="s">
        <v>698</v>
      </c>
      <c r="G42">
        <v>4</v>
      </c>
      <c r="H42" t="s">
        <v>908</v>
      </c>
      <c r="I42" s="2">
        <v>45399</v>
      </c>
      <c r="J42" t="s">
        <v>196</v>
      </c>
      <c r="K42" t="s">
        <v>33</v>
      </c>
      <c r="L42" t="s">
        <v>41</v>
      </c>
    </row>
    <row r="43" spans="1:12" x14ac:dyDescent="0.3">
      <c r="A43">
        <v>1135</v>
      </c>
      <c r="B43" t="s">
        <v>32</v>
      </c>
      <c r="C43">
        <v>21</v>
      </c>
      <c r="D43" t="s">
        <v>55</v>
      </c>
      <c r="E43" t="s">
        <v>84</v>
      </c>
      <c r="F43" t="s">
        <v>699</v>
      </c>
      <c r="G43">
        <v>1</v>
      </c>
      <c r="H43" t="s">
        <v>28</v>
      </c>
      <c r="I43" s="2">
        <v>45311</v>
      </c>
      <c r="J43" t="s">
        <v>199</v>
      </c>
      <c r="K43" t="s">
        <v>33</v>
      </c>
      <c r="L43" t="s">
        <v>78</v>
      </c>
    </row>
    <row r="44" spans="1:12" x14ac:dyDescent="0.3">
      <c r="A44">
        <v>1361</v>
      </c>
      <c r="B44" t="s">
        <v>74</v>
      </c>
      <c r="C44">
        <v>25</v>
      </c>
      <c r="D44" t="s">
        <v>55</v>
      </c>
      <c r="E44" t="s">
        <v>25</v>
      </c>
      <c r="F44" t="s">
        <v>700</v>
      </c>
      <c r="G44">
        <v>5</v>
      </c>
      <c r="H44" t="s">
        <v>908</v>
      </c>
      <c r="I44" s="2">
        <v>45336</v>
      </c>
      <c r="J44" t="s">
        <v>202</v>
      </c>
      <c r="K44" t="s">
        <v>53</v>
      </c>
      <c r="L44" t="s">
        <v>116</v>
      </c>
    </row>
    <row r="45" spans="1:12" x14ac:dyDescent="0.3">
      <c r="A45">
        <v>1099</v>
      </c>
      <c r="B45" t="s">
        <v>155</v>
      </c>
      <c r="C45">
        <v>21</v>
      </c>
      <c r="D45" t="s">
        <v>24</v>
      </c>
      <c r="E45" t="s">
        <v>156</v>
      </c>
      <c r="F45" t="s">
        <v>701</v>
      </c>
      <c r="G45">
        <v>1</v>
      </c>
      <c r="H45" t="s">
        <v>28</v>
      </c>
      <c r="I45" s="2">
        <v>45309</v>
      </c>
      <c r="J45" t="s">
        <v>205</v>
      </c>
      <c r="K45" t="s">
        <v>33</v>
      </c>
      <c r="L45" t="s">
        <v>78</v>
      </c>
    </row>
    <row r="46" spans="1:12" x14ac:dyDescent="0.3">
      <c r="A46">
        <v>1380</v>
      </c>
      <c r="B46" t="s">
        <v>107</v>
      </c>
      <c r="C46">
        <v>25</v>
      </c>
      <c r="D46" t="s">
        <v>55</v>
      </c>
      <c r="E46" t="s">
        <v>156</v>
      </c>
      <c r="F46" t="s">
        <v>702</v>
      </c>
      <c r="G46">
        <v>5</v>
      </c>
      <c r="H46" t="s">
        <v>76</v>
      </c>
      <c r="I46" s="2">
        <v>45456</v>
      </c>
      <c r="J46" t="s">
        <v>208</v>
      </c>
      <c r="K46" t="s">
        <v>53</v>
      </c>
      <c r="L46" t="s">
        <v>41</v>
      </c>
    </row>
    <row r="47" spans="1:12" x14ac:dyDescent="0.3">
      <c r="A47">
        <v>1348</v>
      </c>
      <c r="B47" t="s">
        <v>163</v>
      </c>
      <c r="C47">
        <v>18</v>
      </c>
      <c r="D47" t="s">
        <v>24</v>
      </c>
      <c r="E47" t="s">
        <v>25</v>
      </c>
      <c r="F47" t="s">
        <v>703</v>
      </c>
      <c r="G47">
        <v>4</v>
      </c>
      <c r="H47" t="s">
        <v>17</v>
      </c>
      <c r="I47" s="2">
        <v>45327</v>
      </c>
      <c r="J47" t="s">
        <v>211</v>
      </c>
      <c r="K47" t="s">
        <v>96</v>
      </c>
      <c r="L47" t="s">
        <v>61</v>
      </c>
    </row>
    <row r="48" spans="1:12" x14ac:dyDescent="0.3">
      <c r="A48">
        <v>1180</v>
      </c>
      <c r="B48" t="s">
        <v>74</v>
      </c>
      <c r="C48">
        <v>25</v>
      </c>
      <c r="D48" t="s">
        <v>24</v>
      </c>
      <c r="E48" t="s">
        <v>167</v>
      </c>
      <c r="F48" t="s">
        <v>704</v>
      </c>
      <c r="G48">
        <v>5</v>
      </c>
      <c r="H48" t="s">
        <v>908</v>
      </c>
      <c r="I48" s="2">
        <v>45429</v>
      </c>
      <c r="J48" t="s">
        <v>214</v>
      </c>
      <c r="K48" t="s">
        <v>96</v>
      </c>
      <c r="L48" t="s">
        <v>61</v>
      </c>
    </row>
    <row r="49" spans="1:12" x14ac:dyDescent="0.3">
      <c r="A49">
        <v>1358</v>
      </c>
      <c r="B49" t="s">
        <v>107</v>
      </c>
      <c r="C49">
        <v>24</v>
      </c>
      <c r="D49" t="s">
        <v>24</v>
      </c>
      <c r="E49" t="s">
        <v>84</v>
      </c>
      <c r="F49" t="s">
        <v>705</v>
      </c>
      <c r="G49">
        <v>1</v>
      </c>
      <c r="H49" t="s">
        <v>17</v>
      </c>
      <c r="I49" s="2">
        <v>45317</v>
      </c>
      <c r="J49" t="s">
        <v>216</v>
      </c>
      <c r="K49" t="s">
        <v>53</v>
      </c>
      <c r="L49" t="s">
        <v>101</v>
      </c>
    </row>
    <row r="50" spans="1:12" x14ac:dyDescent="0.3">
      <c r="A50">
        <v>1353</v>
      </c>
      <c r="B50" t="s">
        <v>22</v>
      </c>
      <c r="C50">
        <v>19</v>
      </c>
      <c r="D50" t="s">
        <v>24</v>
      </c>
      <c r="E50" t="s">
        <v>84</v>
      </c>
      <c r="F50" t="s">
        <v>706</v>
      </c>
      <c r="G50">
        <v>3</v>
      </c>
      <c r="H50" t="s">
        <v>17</v>
      </c>
      <c r="I50" s="2">
        <v>45295</v>
      </c>
      <c r="J50" t="s">
        <v>219</v>
      </c>
      <c r="K50" t="s">
        <v>53</v>
      </c>
      <c r="L50" t="s">
        <v>61</v>
      </c>
    </row>
    <row r="51" spans="1:12" x14ac:dyDescent="0.3">
      <c r="A51">
        <v>1213</v>
      </c>
      <c r="B51" t="s">
        <v>163</v>
      </c>
      <c r="C51">
        <v>24</v>
      </c>
      <c r="D51" t="s">
        <v>24</v>
      </c>
      <c r="E51" t="s">
        <v>84</v>
      </c>
      <c r="F51" t="s">
        <v>707</v>
      </c>
      <c r="G51">
        <v>0</v>
      </c>
      <c r="H51" t="s">
        <v>28</v>
      </c>
      <c r="I51" s="2">
        <v>45308</v>
      </c>
      <c r="J51" t="s">
        <v>222</v>
      </c>
      <c r="K51" t="s">
        <v>20</v>
      </c>
      <c r="L51" t="s">
        <v>78</v>
      </c>
    </row>
    <row r="52" spans="1:12" x14ac:dyDescent="0.3">
      <c r="A52">
        <v>1118</v>
      </c>
      <c r="B52" t="s">
        <v>12</v>
      </c>
      <c r="C52">
        <v>0</v>
      </c>
      <c r="D52" t="s">
        <v>24</v>
      </c>
      <c r="E52" t="s">
        <v>25</v>
      </c>
      <c r="F52" t="s">
        <v>708</v>
      </c>
      <c r="G52">
        <v>5</v>
      </c>
      <c r="H52" t="s">
        <v>908</v>
      </c>
      <c r="I52" s="2">
        <v>45383</v>
      </c>
      <c r="J52" t="s">
        <v>225</v>
      </c>
      <c r="K52" t="s">
        <v>96</v>
      </c>
      <c r="L52" t="s">
        <v>31</v>
      </c>
    </row>
    <row r="53" spans="1:12" x14ac:dyDescent="0.3">
      <c r="A53">
        <v>1350</v>
      </c>
      <c r="B53" t="s">
        <v>155</v>
      </c>
      <c r="C53">
        <v>19</v>
      </c>
      <c r="D53" t="s">
        <v>55</v>
      </c>
      <c r="E53" t="s">
        <v>25</v>
      </c>
      <c r="F53" t="s">
        <v>709</v>
      </c>
      <c r="G53">
        <v>3</v>
      </c>
      <c r="H53" t="s">
        <v>17</v>
      </c>
      <c r="I53" s="2">
        <v>45401</v>
      </c>
      <c r="J53" t="s">
        <v>228</v>
      </c>
      <c r="K53" t="s">
        <v>20</v>
      </c>
      <c r="L53" t="s">
        <v>21</v>
      </c>
    </row>
    <row r="54" spans="1:12" x14ac:dyDescent="0.3">
      <c r="A54">
        <v>1411</v>
      </c>
      <c r="B54" t="s">
        <v>12</v>
      </c>
      <c r="C54">
        <v>18</v>
      </c>
      <c r="D54" t="s">
        <v>55</v>
      </c>
      <c r="E54" t="s">
        <v>84</v>
      </c>
      <c r="F54" t="s">
        <v>710</v>
      </c>
      <c r="G54">
        <v>1</v>
      </c>
      <c r="H54" t="s">
        <v>908</v>
      </c>
      <c r="I54" s="2">
        <v>45337</v>
      </c>
      <c r="J54" t="s">
        <v>231</v>
      </c>
      <c r="K54" t="s">
        <v>40</v>
      </c>
      <c r="L54" t="s">
        <v>41</v>
      </c>
    </row>
    <row r="55" spans="1:12" x14ac:dyDescent="0.3">
      <c r="A55">
        <v>1290</v>
      </c>
      <c r="B55" t="s">
        <v>22</v>
      </c>
      <c r="C55">
        <v>0</v>
      </c>
      <c r="D55" t="s">
        <v>55</v>
      </c>
      <c r="E55" t="s">
        <v>25</v>
      </c>
      <c r="F55" t="s">
        <v>711</v>
      </c>
      <c r="G55">
        <v>0</v>
      </c>
      <c r="H55" t="s">
        <v>28</v>
      </c>
      <c r="I55" s="2">
        <v>45413</v>
      </c>
      <c r="J55" t="s">
        <v>234</v>
      </c>
      <c r="K55" t="s">
        <v>60</v>
      </c>
      <c r="L55" t="s">
        <v>78</v>
      </c>
    </row>
    <row r="56" spans="1:12" x14ac:dyDescent="0.3">
      <c r="A56">
        <v>1481</v>
      </c>
      <c r="B56" t="s">
        <v>107</v>
      </c>
      <c r="C56">
        <v>23</v>
      </c>
      <c r="D56" t="s">
        <v>55</v>
      </c>
      <c r="E56" t="s">
        <v>156</v>
      </c>
      <c r="F56" t="s">
        <v>712</v>
      </c>
      <c r="G56">
        <v>4</v>
      </c>
      <c r="H56" t="s">
        <v>17</v>
      </c>
      <c r="I56" s="2">
        <v>45450</v>
      </c>
      <c r="J56" t="s">
        <v>237</v>
      </c>
      <c r="K56" t="s">
        <v>20</v>
      </c>
      <c r="L56" t="s">
        <v>61</v>
      </c>
    </row>
    <row r="57" spans="1:12" x14ac:dyDescent="0.3">
      <c r="A57">
        <v>1076</v>
      </c>
      <c r="B57" t="s">
        <v>120</v>
      </c>
      <c r="C57">
        <v>21</v>
      </c>
      <c r="D57" t="s">
        <v>659</v>
      </c>
      <c r="E57" t="s">
        <v>84</v>
      </c>
      <c r="F57" t="s">
        <v>713</v>
      </c>
      <c r="G57">
        <v>2</v>
      </c>
      <c r="H57" t="s">
        <v>908</v>
      </c>
      <c r="I57" s="2">
        <v>45318</v>
      </c>
      <c r="J57" t="s">
        <v>240</v>
      </c>
      <c r="K57" t="s">
        <v>40</v>
      </c>
      <c r="L57" t="s">
        <v>61</v>
      </c>
    </row>
    <row r="58" spans="1:12" x14ac:dyDescent="0.3">
      <c r="A58">
        <v>1168</v>
      </c>
      <c r="B58" t="s">
        <v>22</v>
      </c>
      <c r="C58">
        <v>20</v>
      </c>
      <c r="D58" t="s">
        <v>659</v>
      </c>
      <c r="E58" t="s">
        <v>156</v>
      </c>
      <c r="F58" t="s">
        <v>714</v>
      </c>
      <c r="G58">
        <v>0</v>
      </c>
      <c r="H58" t="s">
        <v>908</v>
      </c>
      <c r="I58" s="2">
        <v>45336</v>
      </c>
      <c r="J58" t="s">
        <v>242</v>
      </c>
      <c r="K58" t="s">
        <v>20</v>
      </c>
      <c r="L58" t="s">
        <v>31</v>
      </c>
    </row>
    <row r="59" spans="1:12" x14ac:dyDescent="0.3">
      <c r="A59">
        <v>1387</v>
      </c>
      <c r="B59" t="s">
        <v>47</v>
      </c>
      <c r="C59">
        <v>22</v>
      </c>
      <c r="D59" t="s">
        <v>55</v>
      </c>
      <c r="E59" t="s">
        <v>156</v>
      </c>
      <c r="F59" t="s">
        <v>715</v>
      </c>
      <c r="G59">
        <v>2</v>
      </c>
      <c r="H59" t="s">
        <v>28</v>
      </c>
      <c r="I59" s="2">
        <v>45455</v>
      </c>
      <c r="J59" t="s">
        <v>245</v>
      </c>
      <c r="K59" t="s">
        <v>40</v>
      </c>
      <c r="L59" t="s">
        <v>61</v>
      </c>
    </row>
    <row r="60" spans="1:12" x14ac:dyDescent="0.3">
      <c r="A60">
        <v>1106</v>
      </c>
      <c r="B60" t="s">
        <v>47</v>
      </c>
      <c r="C60">
        <v>21</v>
      </c>
      <c r="D60" t="s">
        <v>24</v>
      </c>
      <c r="E60" t="s">
        <v>84</v>
      </c>
      <c r="F60" t="s">
        <v>716</v>
      </c>
      <c r="G60">
        <v>5</v>
      </c>
      <c r="H60" t="s">
        <v>908</v>
      </c>
      <c r="I60" s="2">
        <v>45386</v>
      </c>
      <c r="J60" t="s">
        <v>248</v>
      </c>
      <c r="K60" t="s">
        <v>20</v>
      </c>
      <c r="L60" t="s">
        <v>54</v>
      </c>
    </row>
    <row r="61" spans="1:12" x14ac:dyDescent="0.3">
      <c r="A61">
        <v>1325</v>
      </c>
      <c r="B61" t="s">
        <v>47</v>
      </c>
      <c r="C61">
        <v>21</v>
      </c>
      <c r="D61" t="s">
        <v>55</v>
      </c>
      <c r="E61" t="s">
        <v>156</v>
      </c>
      <c r="F61" t="s">
        <v>717</v>
      </c>
      <c r="G61">
        <v>5</v>
      </c>
      <c r="H61" t="s">
        <v>17</v>
      </c>
      <c r="I61" s="2">
        <v>45429</v>
      </c>
      <c r="J61" t="s">
        <v>250</v>
      </c>
      <c r="K61" t="s">
        <v>60</v>
      </c>
      <c r="L61" t="s">
        <v>61</v>
      </c>
    </row>
    <row r="62" spans="1:12" x14ac:dyDescent="0.3">
      <c r="A62">
        <v>1064</v>
      </c>
      <c r="B62" t="s">
        <v>163</v>
      </c>
      <c r="C62">
        <v>22</v>
      </c>
      <c r="D62" t="s">
        <v>659</v>
      </c>
      <c r="E62" t="s">
        <v>25</v>
      </c>
      <c r="F62" t="s">
        <v>718</v>
      </c>
      <c r="G62">
        <v>3</v>
      </c>
      <c r="H62" t="s">
        <v>76</v>
      </c>
      <c r="I62" s="2">
        <v>45444</v>
      </c>
      <c r="J62" t="s">
        <v>253</v>
      </c>
      <c r="K62" t="s">
        <v>40</v>
      </c>
      <c r="L62" t="s">
        <v>54</v>
      </c>
    </row>
    <row r="63" spans="1:12" x14ac:dyDescent="0.3">
      <c r="A63">
        <v>1331</v>
      </c>
      <c r="B63" t="s">
        <v>74</v>
      </c>
      <c r="C63">
        <v>25</v>
      </c>
      <c r="D63" t="s">
        <v>24</v>
      </c>
      <c r="E63" t="s">
        <v>84</v>
      </c>
      <c r="F63" t="s">
        <v>719</v>
      </c>
      <c r="G63">
        <v>3</v>
      </c>
      <c r="H63" t="s">
        <v>76</v>
      </c>
      <c r="I63" s="2">
        <v>45429</v>
      </c>
      <c r="J63" t="s">
        <v>255</v>
      </c>
      <c r="K63" t="s">
        <v>53</v>
      </c>
      <c r="L63" t="s">
        <v>41</v>
      </c>
    </row>
    <row r="64" spans="1:12" x14ac:dyDescent="0.3">
      <c r="A64">
        <v>1418</v>
      </c>
      <c r="B64" t="s">
        <v>117</v>
      </c>
      <c r="C64">
        <v>19</v>
      </c>
      <c r="D64" t="s">
        <v>55</v>
      </c>
      <c r="E64" t="s">
        <v>84</v>
      </c>
      <c r="F64" t="s">
        <v>720</v>
      </c>
      <c r="G64">
        <v>5</v>
      </c>
      <c r="H64" t="s">
        <v>28</v>
      </c>
      <c r="I64" s="2">
        <v>45427</v>
      </c>
      <c r="J64" t="s">
        <v>258</v>
      </c>
      <c r="K64" t="s">
        <v>20</v>
      </c>
      <c r="L64" t="s">
        <v>41</v>
      </c>
    </row>
    <row r="65" spans="1:12" x14ac:dyDescent="0.3">
      <c r="A65">
        <v>1314</v>
      </c>
      <c r="B65" t="s">
        <v>47</v>
      </c>
      <c r="C65">
        <v>19</v>
      </c>
      <c r="D65" t="s">
        <v>659</v>
      </c>
      <c r="E65" t="s">
        <v>25</v>
      </c>
      <c r="F65" t="s">
        <v>721</v>
      </c>
      <c r="G65">
        <v>5</v>
      </c>
      <c r="H65" t="s">
        <v>28</v>
      </c>
      <c r="I65" s="2">
        <v>45377</v>
      </c>
      <c r="J65" t="s">
        <v>261</v>
      </c>
      <c r="K65" t="s">
        <v>53</v>
      </c>
      <c r="L65" t="s">
        <v>41</v>
      </c>
    </row>
    <row r="66" spans="1:12" x14ac:dyDescent="0.3">
      <c r="A66">
        <v>1394</v>
      </c>
      <c r="B66" t="s">
        <v>163</v>
      </c>
      <c r="C66">
        <v>18</v>
      </c>
      <c r="D66" t="s">
        <v>24</v>
      </c>
      <c r="E66" t="s">
        <v>84</v>
      </c>
      <c r="F66" t="s">
        <v>722</v>
      </c>
      <c r="G66">
        <v>4</v>
      </c>
      <c r="H66" t="s">
        <v>28</v>
      </c>
      <c r="I66" s="2">
        <v>45628</v>
      </c>
      <c r="J66" t="s">
        <v>51</v>
      </c>
      <c r="K66" t="s">
        <v>40</v>
      </c>
      <c r="L66" t="s">
        <v>41</v>
      </c>
    </row>
    <row r="67" spans="1:12" x14ac:dyDescent="0.3">
      <c r="A67">
        <v>1278</v>
      </c>
      <c r="B67" t="s">
        <v>74</v>
      </c>
      <c r="C67">
        <v>19</v>
      </c>
      <c r="D67" t="s">
        <v>55</v>
      </c>
      <c r="E67" t="s">
        <v>156</v>
      </c>
      <c r="F67" t="s">
        <v>723</v>
      </c>
      <c r="G67">
        <v>5</v>
      </c>
      <c r="H67" t="s">
        <v>17</v>
      </c>
      <c r="I67" s="2">
        <v>45354</v>
      </c>
      <c r="J67" t="s">
        <v>266</v>
      </c>
      <c r="K67" t="s">
        <v>96</v>
      </c>
      <c r="L67" t="s">
        <v>54</v>
      </c>
    </row>
    <row r="68" spans="1:12" x14ac:dyDescent="0.3">
      <c r="A68">
        <v>1205</v>
      </c>
      <c r="B68" t="s">
        <v>155</v>
      </c>
      <c r="C68">
        <v>22</v>
      </c>
      <c r="D68" t="s">
        <v>55</v>
      </c>
      <c r="E68" t="s">
        <v>84</v>
      </c>
      <c r="F68" t="s">
        <v>724</v>
      </c>
      <c r="G68">
        <v>5</v>
      </c>
      <c r="H68" t="s">
        <v>17</v>
      </c>
      <c r="I68" s="2">
        <v>45372</v>
      </c>
      <c r="J68" t="s">
        <v>269</v>
      </c>
      <c r="K68" t="s">
        <v>40</v>
      </c>
      <c r="L68" t="s">
        <v>61</v>
      </c>
    </row>
    <row r="69" spans="1:12" x14ac:dyDescent="0.3">
      <c r="A69">
        <v>1146</v>
      </c>
      <c r="B69" t="s">
        <v>117</v>
      </c>
      <c r="C69">
        <v>25</v>
      </c>
      <c r="D69" t="s">
        <v>659</v>
      </c>
      <c r="E69" t="s">
        <v>84</v>
      </c>
      <c r="F69" t="s">
        <v>725</v>
      </c>
      <c r="G69">
        <v>0</v>
      </c>
      <c r="H69" t="s">
        <v>76</v>
      </c>
      <c r="I69" s="2">
        <v>45448</v>
      </c>
      <c r="J69" t="s">
        <v>272</v>
      </c>
      <c r="K69" t="s">
        <v>33</v>
      </c>
      <c r="L69" t="s">
        <v>116</v>
      </c>
    </row>
    <row r="70" spans="1:12" x14ac:dyDescent="0.3">
      <c r="A70">
        <v>1484</v>
      </c>
      <c r="B70" t="s">
        <v>107</v>
      </c>
      <c r="C70">
        <v>20</v>
      </c>
      <c r="D70" t="s">
        <v>55</v>
      </c>
      <c r="E70" t="s">
        <v>25</v>
      </c>
      <c r="F70" t="s">
        <v>726</v>
      </c>
      <c r="G70">
        <v>5</v>
      </c>
      <c r="H70" t="s">
        <v>17</v>
      </c>
      <c r="I70" s="2">
        <v>45376</v>
      </c>
      <c r="J70" t="s">
        <v>82</v>
      </c>
      <c r="K70" t="s">
        <v>96</v>
      </c>
      <c r="L70" t="s">
        <v>116</v>
      </c>
    </row>
    <row r="71" spans="1:12" x14ac:dyDescent="0.3">
      <c r="A71">
        <v>1271</v>
      </c>
      <c r="B71" t="s">
        <v>22</v>
      </c>
      <c r="C71">
        <v>0</v>
      </c>
      <c r="D71" t="s">
        <v>55</v>
      </c>
      <c r="E71" t="s">
        <v>84</v>
      </c>
      <c r="F71" t="s">
        <v>727</v>
      </c>
      <c r="G71">
        <v>5</v>
      </c>
      <c r="H71" t="s">
        <v>28</v>
      </c>
      <c r="I71" s="2">
        <v>45295</v>
      </c>
      <c r="J71" t="s">
        <v>277</v>
      </c>
      <c r="K71" t="s">
        <v>60</v>
      </c>
      <c r="L71" t="s">
        <v>116</v>
      </c>
    </row>
    <row r="72" spans="1:12" x14ac:dyDescent="0.3">
      <c r="A72">
        <v>1491</v>
      </c>
      <c r="B72" t="s">
        <v>22</v>
      </c>
      <c r="C72">
        <v>0</v>
      </c>
      <c r="D72" t="s">
        <v>659</v>
      </c>
      <c r="E72" t="s">
        <v>25</v>
      </c>
      <c r="F72" t="s">
        <v>728</v>
      </c>
      <c r="G72">
        <v>4</v>
      </c>
      <c r="H72" t="s">
        <v>28</v>
      </c>
      <c r="I72" s="2">
        <v>45414</v>
      </c>
      <c r="J72" t="s">
        <v>280</v>
      </c>
      <c r="K72" t="s">
        <v>60</v>
      </c>
      <c r="L72" t="s">
        <v>41</v>
      </c>
    </row>
    <row r="73" spans="1:12" x14ac:dyDescent="0.3">
      <c r="A73">
        <v>1411</v>
      </c>
      <c r="B73" t="s">
        <v>22</v>
      </c>
      <c r="C73">
        <v>0</v>
      </c>
      <c r="D73" t="s">
        <v>55</v>
      </c>
      <c r="E73" t="s">
        <v>25</v>
      </c>
      <c r="F73" t="s">
        <v>729</v>
      </c>
      <c r="G73">
        <v>0</v>
      </c>
      <c r="H73" t="s">
        <v>908</v>
      </c>
      <c r="I73" s="2">
        <v>45417</v>
      </c>
      <c r="J73" t="s">
        <v>283</v>
      </c>
      <c r="K73" t="s">
        <v>53</v>
      </c>
      <c r="L73" t="s">
        <v>61</v>
      </c>
    </row>
    <row r="74" spans="1:12" x14ac:dyDescent="0.3">
      <c r="A74">
        <v>1253</v>
      </c>
      <c r="B74" t="s">
        <v>136</v>
      </c>
      <c r="C74">
        <v>22</v>
      </c>
      <c r="D74" t="s">
        <v>659</v>
      </c>
      <c r="E74" t="s">
        <v>84</v>
      </c>
      <c r="F74" t="s">
        <v>730</v>
      </c>
      <c r="G74">
        <v>3</v>
      </c>
      <c r="H74" t="s">
        <v>28</v>
      </c>
      <c r="I74" s="2">
        <v>45332</v>
      </c>
      <c r="J74" t="s">
        <v>286</v>
      </c>
      <c r="K74" t="s">
        <v>33</v>
      </c>
      <c r="L74" t="s">
        <v>101</v>
      </c>
    </row>
    <row r="75" spans="1:12" x14ac:dyDescent="0.3">
      <c r="A75">
        <v>1492</v>
      </c>
      <c r="B75" t="s">
        <v>12</v>
      </c>
      <c r="C75">
        <v>19</v>
      </c>
      <c r="D75" t="s">
        <v>55</v>
      </c>
      <c r="E75" t="s">
        <v>167</v>
      </c>
      <c r="F75" t="s">
        <v>731</v>
      </c>
      <c r="G75">
        <v>5</v>
      </c>
      <c r="H75" t="s">
        <v>908</v>
      </c>
      <c r="I75" s="2">
        <v>45310</v>
      </c>
      <c r="J75" t="s">
        <v>285</v>
      </c>
      <c r="K75" t="s">
        <v>20</v>
      </c>
      <c r="L75" t="s">
        <v>21</v>
      </c>
    </row>
    <row r="76" spans="1:12" x14ac:dyDescent="0.3">
      <c r="A76">
        <v>1158</v>
      </c>
      <c r="B76" t="s">
        <v>74</v>
      </c>
      <c r="C76">
        <v>21</v>
      </c>
      <c r="D76" t="s">
        <v>659</v>
      </c>
      <c r="E76" t="s">
        <v>167</v>
      </c>
      <c r="F76" t="s">
        <v>732</v>
      </c>
      <c r="G76">
        <v>0</v>
      </c>
      <c r="H76" t="s">
        <v>17</v>
      </c>
      <c r="I76" s="2">
        <v>45379</v>
      </c>
      <c r="J76" t="s">
        <v>290</v>
      </c>
      <c r="K76" t="s">
        <v>53</v>
      </c>
      <c r="L76" t="s">
        <v>54</v>
      </c>
    </row>
    <row r="77" spans="1:12" x14ac:dyDescent="0.3">
      <c r="A77">
        <v>1180</v>
      </c>
      <c r="B77" t="s">
        <v>22</v>
      </c>
      <c r="C77">
        <v>22</v>
      </c>
      <c r="D77" t="s">
        <v>55</v>
      </c>
      <c r="E77" t="s">
        <v>25</v>
      </c>
      <c r="F77" t="s">
        <v>733</v>
      </c>
      <c r="G77">
        <v>4</v>
      </c>
      <c r="H77" t="s">
        <v>76</v>
      </c>
      <c r="I77" s="2">
        <v>45387</v>
      </c>
      <c r="J77" t="s">
        <v>293</v>
      </c>
      <c r="K77" t="s">
        <v>53</v>
      </c>
      <c r="L77" t="s">
        <v>116</v>
      </c>
    </row>
    <row r="78" spans="1:12" x14ac:dyDescent="0.3">
      <c r="A78">
        <v>1070</v>
      </c>
      <c r="B78" t="s">
        <v>107</v>
      </c>
      <c r="C78">
        <v>22</v>
      </c>
      <c r="D78" t="s">
        <v>24</v>
      </c>
      <c r="E78" t="s">
        <v>167</v>
      </c>
      <c r="F78" t="s">
        <v>734</v>
      </c>
      <c r="G78">
        <v>5</v>
      </c>
      <c r="H78" t="s">
        <v>17</v>
      </c>
      <c r="I78" s="2">
        <v>45304</v>
      </c>
      <c r="J78" t="s">
        <v>296</v>
      </c>
      <c r="K78" t="s">
        <v>40</v>
      </c>
      <c r="L78" t="s">
        <v>61</v>
      </c>
    </row>
    <row r="79" spans="1:12" x14ac:dyDescent="0.3">
      <c r="A79">
        <v>1365</v>
      </c>
      <c r="B79" t="s">
        <v>22</v>
      </c>
      <c r="C79">
        <v>24</v>
      </c>
      <c r="D79" t="s">
        <v>659</v>
      </c>
      <c r="E79" t="s">
        <v>156</v>
      </c>
      <c r="F79" t="s">
        <v>735</v>
      </c>
      <c r="G79">
        <v>1</v>
      </c>
      <c r="H79" t="s">
        <v>908</v>
      </c>
      <c r="I79" s="2">
        <v>45445</v>
      </c>
      <c r="J79" t="s">
        <v>298</v>
      </c>
      <c r="K79" t="s">
        <v>96</v>
      </c>
      <c r="L79" t="s">
        <v>41</v>
      </c>
    </row>
    <row r="80" spans="1:12" x14ac:dyDescent="0.3">
      <c r="A80">
        <v>1371</v>
      </c>
      <c r="B80" t="s">
        <v>155</v>
      </c>
      <c r="C80">
        <v>20</v>
      </c>
      <c r="D80" t="s">
        <v>24</v>
      </c>
      <c r="E80" t="s">
        <v>84</v>
      </c>
      <c r="F80" t="s">
        <v>736</v>
      </c>
      <c r="G80">
        <v>2</v>
      </c>
      <c r="H80" t="s">
        <v>76</v>
      </c>
      <c r="I80" s="2">
        <v>45373</v>
      </c>
      <c r="J80" t="s">
        <v>301</v>
      </c>
      <c r="K80" t="s">
        <v>40</v>
      </c>
      <c r="L80" t="s">
        <v>116</v>
      </c>
    </row>
    <row r="81" spans="1:12" x14ac:dyDescent="0.3">
      <c r="A81">
        <v>1154</v>
      </c>
      <c r="B81" t="s">
        <v>136</v>
      </c>
      <c r="C81">
        <v>25</v>
      </c>
      <c r="D81" t="s">
        <v>659</v>
      </c>
      <c r="E81" t="s">
        <v>167</v>
      </c>
      <c r="F81" t="s">
        <v>737</v>
      </c>
      <c r="G81">
        <v>2</v>
      </c>
      <c r="H81" t="s">
        <v>908</v>
      </c>
      <c r="I81" s="2">
        <v>45364</v>
      </c>
      <c r="J81" t="s">
        <v>304</v>
      </c>
      <c r="K81" t="s">
        <v>53</v>
      </c>
      <c r="L81" t="s">
        <v>21</v>
      </c>
    </row>
    <row r="82" spans="1:12" x14ac:dyDescent="0.3">
      <c r="A82">
        <v>1208</v>
      </c>
      <c r="B82" t="s">
        <v>47</v>
      </c>
      <c r="C82">
        <v>25</v>
      </c>
      <c r="D82" t="s">
        <v>659</v>
      </c>
      <c r="E82" t="s">
        <v>84</v>
      </c>
      <c r="F82" t="s">
        <v>738</v>
      </c>
      <c r="G82">
        <v>1</v>
      </c>
      <c r="H82" t="s">
        <v>28</v>
      </c>
      <c r="I82" s="2">
        <v>45342</v>
      </c>
      <c r="J82" t="s">
        <v>306</v>
      </c>
      <c r="K82" t="s">
        <v>60</v>
      </c>
      <c r="L82" t="s">
        <v>116</v>
      </c>
    </row>
    <row r="83" spans="1:12" x14ac:dyDescent="0.3">
      <c r="A83">
        <v>1390</v>
      </c>
      <c r="B83" t="s">
        <v>47</v>
      </c>
      <c r="C83">
        <v>25</v>
      </c>
      <c r="D83" t="s">
        <v>24</v>
      </c>
      <c r="E83" t="s">
        <v>84</v>
      </c>
      <c r="F83" t="s">
        <v>739</v>
      </c>
      <c r="G83">
        <v>5</v>
      </c>
      <c r="H83" t="s">
        <v>908</v>
      </c>
      <c r="I83" s="2">
        <v>45357</v>
      </c>
      <c r="J83" t="s">
        <v>309</v>
      </c>
      <c r="K83" t="s">
        <v>40</v>
      </c>
      <c r="L83" t="s">
        <v>61</v>
      </c>
    </row>
    <row r="84" spans="1:12" x14ac:dyDescent="0.3">
      <c r="A84">
        <v>1270</v>
      </c>
      <c r="B84" t="s">
        <v>163</v>
      </c>
      <c r="C84">
        <v>22</v>
      </c>
      <c r="D84" t="s">
        <v>659</v>
      </c>
      <c r="E84" t="s">
        <v>25</v>
      </c>
      <c r="F84" t="s">
        <v>740</v>
      </c>
      <c r="G84">
        <v>5</v>
      </c>
      <c r="H84" t="s">
        <v>28</v>
      </c>
      <c r="I84" s="2">
        <v>45319</v>
      </c>
      <c r="J84" t="s">
        <v>312</v>
      </c>
      <c r="K84" t="s">
        <v>40</v>
      </c>
      <c r="L84" t="s">
        <v>31</v>
      </c>
    </row>
    <row r="85" spans="1:12" x14ac:dyDescent="0.3">
      <c r="A85">
        <v>1255</v>
      </c>
      <c r="B85" t="s">
        <v>74</v>
      </c>
      <c r="C85">
        <v>0</v>
      </c>
      <c r="D85" t="s">
        <v>24</v>
      </c>
      <c r="E85" t="s">
        <v>156</v>
      </c>
      <c r="F85" t="s">
        <v>741</v>
      </c>
      <c r="G85">
        <v>1</v>
      </c>
      <c r="H85" t="s">
        <v>908</v>
      </c>
      <c r="I85" s="2">
        <v>45466</v>
      </c>
      <c r="J85" t="s">
        <v>315</v>
      </c>
      <c r="K85" t="s">
        <v>20</v>
      </c>
      <c r="L85" t="s">
        <v>54</v>
      </c>
    </row>
    <row r="86" spans="1:12" x14ac:dyDescent="0.3">
      <c r="A86">
        <v>1244</v>
      </c>
      <c r="B86" t="s">
        <v>22</v>
      </c>
      <c r="C86">
        <v>25</v>
      </c>
      <c r="D86" t="s">
        <v>659</v>
      </c>
      <c r="E86" t="s">
        <v>167</v>
      </c>
      <c r="F86" t="s">
        <v>742</v>
      </c>
      <c r="G86">
        <v>4</v>
      </c>
      <c r="H86" t="s">
        <v>28</v>
      </c>
      <c r="I86" s="2">
        <v>45359</v>
      </c>
      <c r="J86" t="s">
        <v>317</v>
      </c>
      <c r="K86" t="s">
        <v>96</v>
      </c>
      <c r="L86" t="s">
        <v>54</v>
      </c>
    </row>
    <row r="87" spans="1:12" x14ac:dyDescent="0.3">
      <c r="A87">
        <v>1359</v>
      </c>
      <c r="B87" t="s">
        <v>107</v>
      </c>
      <c r="C87">
        <v>19</v>
      </c>
      <c r="D87" t="s">
        <v>24</v>
      </c>
      <c r="E87" t="s">
        <v>25</v>
      </c>
      <c r="F87" t="s">
        <v>743</v>
      </c>
      <c r="G87">
        <v>3</v>
      </c>
      <c r="H87" t="s">
        <v>28</v>
      </c>
      <c r="I87" s="2">
        <v>45362</v>
      </c>
      <c r="J87" t="s">
        <v>320</v>
      </c>
      <c r="K87" t="s">
        <v>20</v>
      </c>
      <c r="L87" t="s">
        <v>41</v>
      </c>
    </row>
    <row r="88" spans="1:12" x14ac:dyDescent="0.3">
      <c r="A88">
        <v>1459</v>
      </c>
      <c r="B88" t="s">
        <v>74</v>
      </c>
      <c r="C88">
        <v>22</v>
      </c>
      <c r="D88" t="s">
        <v>24</v>
      </c>
      <c r="E88" t="s">
        <v>156</v>
      </c>
      <c r="F88" t="s">
        <v>744</v>
      </c>
      <c r="G88">
        <v>0</v>
      </c>
      <c r="H88" t="s">
        <v>28</v>
      </c>
      <c r="I88" s="2">
        <v>45328</v>
      </c>
      <c r="J88" t="s">
        <v>323</v>
      </c>
      <c r="K88" t="s">
        <v>20</v>
      </c>
      <c r="L88" t="s">
        <v>116</v>
      </c>
    </row>
    <row r="89" spans="1:12" x14ac:dyDescent="0.3">
      <c r="A89">
        <v>1438</v>
      </c>
      <c r="B89" t="s">
        <v>74</v>
      </c>
      <c r="C89">
        <v>18</v>
      </c>
      <c r="D89" t="s">
        <v>55</v>
      </c>
      <c r="E89" t="s">
        <v>25</v>
      </c>
      <c r="F89" t="s">
        <v>745</v>
      </c>
      <c r="G89">
        <v>5</v>
      </c>
      <c r="H89" t="s">
        <v>908</v>
      </c>
      <c r="I89" s="2">
        <v>45339</v>
      </c>
      <c r="J89" t="s">
        <v>326</v>
      </c>
      <c r="K89" t="s">
        <v>40</v>
      </c>
      <c r="L89" t="s">
        <v>101</v>
      </c>
    </row>
    <row r="90" spans="1:12" x14ac:dyDescent="0.3">
      <c r="A90">
        <v>1455</v>
      </c>
      <c r="B90" t="s">
        <v>74</v>
      </c>
      <c r="C90">
        <v>25</v>
      </c>
      <c r="D90" t="s">
        <v>55</v>
      </c>
      <c r="E90" t="s">
        <v>156</v>
      </c>
      <c r="F90" t="s">
        <v>746</v>
      </c>
      <c r="G90">
        <v>1</v>
      </c>
      <c r="H90" t="s">
        <v>28</v>
      </c>
      <c r="I90" s="2">
        <v>45399</v>
      </c>
      <c r="J90" t="s">
        <v>329</v>
      </c>
      <c r="K90" t="s">
        <v>20</v>
      </c>
      <c r="L90" t="s">
        <v>41</v>
      </c>
    </row>
    <row r="91" spans="1:12" x14ac:dyDescent="0.3">
      <c r="A91">
        <v>1129</v>
      </c>
      <c r="B91" t="s">
        <v>107</v>
      </c>
      <c r="C91">
        <v>0</v>
      </c>
      <c r="D91" t="s">
        <v>24</v>
      </c>
      <c r="E91" t="s">
        <v>156</v>
      </c>
      <c r="F91" t="s">
        <v>747</v>
      </c>
      <c r="G91">
        <v>1</v>
      </c>
      <c r="H91" t="s">
        <v>76</v>
      </c>
      <c r="I91" s="2">
        <v>45406</v>
      </c>
      <c r="J91" t="s">
        <v>331</v>
      </c>
      <c r="K91" t="s">
        <v>40</v>
      </c>
      <c r="L91" t="s">
        <v>61</v>
      </c>
    </row>
    <row r="92" spans="1:12" x14ac:dyDescent="0.3">
      <c r="A92">
        <v>1043</v>
      </c>
      <c r="B92" t="s">
        <v>120</v>
      </c>
      <c r="C92">
        <v>0</v>
      </c>
      <c r="D92" t="s">
        <v>24</v>
      </c>
      <c r="E92" t="s">
        <v>84</v>
      </c>
      <c r="F92" t="s">
        <v>748</v>
      </c>
      <c r="G92">
        <v>4</v>
      </c>
      <c r="H92" t="s">
        <v>908</v>
      </c>
      <c r="I92" s="2">
        <v>45445</v>
      </c>
      <c r="J92" t="s">
        <v>333</v>
      </c>
      <c r="K92" t="s">
        <v>53</v>
      </c>
      <c r="L92" t="s">
        <v>101</v>
      </c>
    </row>
    <row r="93" spans="1:12" x14ac:dyDescent="0.3">
      <c r="A93">
        <v>1186</v>
      </c>
      <c r="B93" t="s">
        <v>120</v>
      </c>
      <c r="C93">
        <v>0</v>
      </c>
      <c r="D93" t="s">
        <v>659</v>
      </c>
      <c r="E93" t="s">
        <v>167</v>
      </c>
      <c r="F93" t="s">
        <v>749</v>
      </c>
      <c r="G93">
        <v>2</v>
      </c>
      <c r="H93" t="s">
        <v>76</v>
      </c>
      <c r="I93" s="2">
        <v>45332</v>
      </c>
      <c r="J93" t="s">
        <v>336</v>
      </c>
      <c r="K93" t="s">
        <v>20</v>
      </c>
      <c r="L93" t="s">
        <v>78</v>
      </c>
    </row>
    <row r="94" spans="1:12" x14ac:dyDescent="0.3">
      <c r="A94">
        <v>1357</v>
      </c>
      <c r="B94" t="s">
        <v>22</v>
      </c>
      <c r="C94">
        <v>24</v>
      </c>
      <c r="D94" t="s">
        <v>55</v>
      </c>
      <c r="E94" t="s">
        <v>25</v>
      </c>
      <c r="F94" t="s">
        <v>750</v>
      </c>
      <c r="G94">
        <v>4</v>
      </c>
      <c r="H94" t="s">
        <v>28</v>
      </c>
      <c r="I94" s="2">
        <v>45366</v>
      </c>
      <c r="J94" t="s">
        <v>339</v>
      </c>
      <c r="K94" t="s">
        <v>60</v>
      </c>
      <c r="L94" t="s">
        <v>78</v>
      </c>
    </row>
    <row r="95" spans="1:12" x14ac:dyDescent="0.3">
      <c r="A95">
        <v>1183</v>
      </c>
      <c r="B95" t="s">
        <v>163</v>
      </c>
      <c r="C95">
        <v>21</v>
      </c>
      <c r="D95" t="s">
        <v>659</v>
      </c>
      <c r="E95" t="s">
        <v>84</v>
      </c>
      <c r="F95" t="s">
        <v>751</v>
      </c>
      <c r="G95">
        <v>5</v>
      </c>
      <c r="H95" t="s">
        <v>28</v>
      </c>
      <c r="I95" s="2">
        <v>45405</v>
      </c>
      <c r="J95" t="s">
        <v>341</v>
      </c>
      <c r="K95" t="s">
        <v>20</v>
      </c>
      <c r="L95" t="s">
        <v>78</v>
      </c>
    </row>
    <row r="96" spans="1:12" x14ac:dyDescent="0.3">
      <c r="A96">
        <v>1025</v>
      </c>
      <c r="B96" t="s">
        <v>120</v>
      </c>
      <c r="C96">
        <v>22</v>
      </c>
      <c r="D96" t="s">
        <v>55</v>
      </c>
      <c r="E96" t="s">
        <v>167</v>
      </c>
      <c r="F96" t="s">
        <v>752</v>
      </c>
      <c r="G96">
        <v>0</v>
      </c>
      <c r="H96" t="s">
        <v>17</v>
      </c>
      <c r="I96" s="2">
        <v>45368</v>
      </c>
      <c r="J96" t="s">
        <v>344</v>
      </c>
      <c r="K96" t="s">
        <v>40</v>
      </c>
      <c r="L96" t="s">
        <v>21</v>
      </c>
    </row>
    <row r="97" spans="1:12" x14ac:dyDescent="0.3">
      <c r="A97">
        <v>1434</v>
      </c>
      <c r="B97" t="s">
        <v>136</v>
      </c>
      <c r="C97">
        <v>19</v>
      </c>
      <c r="D97" t="s">
        <v>24</v>
      </c>
      <c r="E97" t="s">
        <v>25</v>
      </c>
      <c r="F97" t="s">
        <v>753</v>
      </c>
      <c r="G97">
        <v>5</v>
      </c>
      <c r="H97" t="s">
        <v>17</v>
      </c>
      <c r="I97" s="2">
        <v>45324</v>
      </c>
      <c r="J97" t="s">
        <v>45</v>
      </c>
      <c r="K97" t="s">
        <v>33</v>
      </c>
      <c r="L97" t="s">
        <v>116</v>
      </c>
    </row>
    <row r="98" spans="1:12" x14ac:dyDescent="0.3">
      <c r="A98">
        <v>1468</v>
      </c>
      <c r="B98" t="s">
        <v>32</v>
      </c>
      <c r="C98">
        <v>19</v>
      </c>
      <c r="D98" t="s">
        <v>55</v>
      </c>
      <c r="E98" t="s">
        <v>84</v>
      </c>
      <c r="F98" t="s">
        <v>754</v>
      </c>
      <c r="G98">
        <v>5</v>
      </c>
      <c r="H98" t="s">
        <v>908</v>
      </c>
      <c r="I98" s="2">
        <v>45296</v>
      </c>
      <c r="J98" t="s">
        <v>349</v>
      </c>
      <c r="K98" t="s">
        <v>40</v>
      </c>
      <c r="L98" t="s">
        <v>116</v>
      </c>
    </row>
    <row r="99" spans="1:12" x14ac:dyDescent="0.3">
      <c r="A99">
        <v>1312</v>
      </c>
      <c r="B99" t="s">
        <v>12</v>
      </c>
      <c r="C99">
        <v>25</v>
      </c>
      <c r="D99" t="s">
        <v>55</v>
      </c>
      <c r="E99" t="s">
        <v>167</v>
      </c>
      <c r="F99" t="s">
        <v>755</v>
      </c>
      <c r="G99">
        <v>5</v>
      </c>
      <c r="H99" t="s">
        <v>17</v>
      </c>
      <c r="I99" s="2">
        <v>45461</v>
      </c>
      <c r="J99" t="s">
        <v>352</v>
      </c>
      <c r="K99" t="s">
        <v>40</v>
      </c>
      <c r="L99" t="s">
        <v>41</v>
      </c>
    </row>
    <row r="100" spans="1:12" x14ac:dyDescent="0.3">
      <c r="A100">
        <v>1305</v>
      </c>
      <c r="B100" t="s">
        <v>107</v>
      </c>
      <c r="C100">
        <v>20</v>
      </c>
      <c r="D100" t="s">
        <v>24</v>
      </c>
      <c r="E100" t="s">
        <v>84</v>
      </c>
      <c r="F100" t="s">
        <v>756</v>
      </c>
      <c r="G100">
        <v>1</v>
      </c>
      <c r="H100" t="s">
        <v>908</v>
      </c>
      <c r="I100" s="2">
        <v>45433</v>
      </c>
      <c r="J100" t="s">
        <v>290</v>
      </c>
      <c r="K100" t="s">
        <v>40</v>
      </c>
      <c r="L100" t="s">
        <v>101</v>
      </c>
    </row>
    <row r="101" spans="1:12" x14ac:dyDescent="0.3">
      <c r="A101">
        <v>1268</v>
      </c>
      <c r="B101" t="s">
        <v>136</v>
      </c>
      <c r="C101">
        <v>0</v>
      </c>
      <c r="D101" t="s">
        <v>55</v>
      </c>
      <c r="E101" t="s">
        <v>84</v>
      </c>
      <c r="F101" t="s">
        <v>757</v>
      </c>
      <c r="G101">
        <v>2</v>
      </c>
      <c r="H101" t="s">
        <v>908</v>
      </c>
      <c r="I101" s="2">
        <v>45405</v>
      </c>
      <c r="J101" t="s">
        <v>357</v>
      </c>
      <c r="K101" t="s">
        <v>53</v>
      </c>
      <c r="L101" t="s">
        <v>101</v>
      </c>
    </row>
    <row r="102" spans="1:12" x14ac:dyDescent="0.3">
      <c r="A102">
        <v>1018</v>
      </c>
      <c r="B102" t="s">
        <v>107</v>
      </c>
      <c r="C102">
        <v>0</v>
      </c>
      <c r="D102" t="s">
        <v>659</v>
      </c>
      <c r="E102" t="s">
        <v>25</v>
      </c>
      <c r="F102" t="s">
        <v>758</v>
      </c>
      <c r="G102">
        <v>5</v>
      </c>
      <c r="H102" t="s">
        <v>28</v>
      </c>
      <c r="I102" s="2">
        <v>45431</v>
      </c>
      <c r="J102" t="s">
        <v>360</v>
      </c>
      <c r="K102" t="s">
        <v>53</v>
      </c>
      <c r="L102" t="s">
        <v>41</v>
      </c>
    </row>
    <row r="103" spans="1:12" x14ac:dyDescent="0.3">
      <c r="A103">
        <v>1465</v>
      </c>
      <c r="B103" t="s">
        <v>120</v>
      </c>
      <c r="C103">
        <v>0</v>
      </c>
      <c r="D103" t="s">
        <v>24</v>
      </c>
      <c r="E103" t="s">
        <v>25</v>
      </c>
      <c r="F103" t="s">
        <v>759</v>
      </c>
      <c r="G103">
        <v>2</v>
      </c>
      <c r="H103" t="s">
        <v>28</v>
      </c>
      <c r="I103" s="2">
        <v>45453</v>
      </c>
      <c r="J103" t="s">
        <v>362</v>
      </c>
      <c r="K103" t="s">
        <v>53</v>
      </c>
      <c r="L103" t="s">
        <v>31</v>
      </c>
    </row>
    <row r="104" spans="1:12" x14ac:dyDescent="0.3">
      <c r="A104">
        <v>1001</v>
      </c>
      <c r="B104" t="s">
        <v>74</v>
      </c>
      <c r="C104">
        <v>25</v>
      </c>
      <c r="D104" t="s">
        <v>659</v>
      </c>
      <c r="E104" t="s">
        <v>167</v>
      </c>
      <c r="F104" t="s">
        <v>760</v>
      </c>
      <c r="G104">
        <v>4</v>
      </c>
      <c r="H104" t="s">
        <v>28</v>
      </c>
      <c r="I104" s="2">
        <v>45354</v>
      </c>
      <c r="J104" t="s">
        <v>364</v>
      </c>
      <c r="K104" t="s">
        <v>53</v>
      </c>
      <c r="L104" t="s">
        <v>78</v>
      </c>
    </row>
    <row r="105" spans="1:12" x14ac:dyDescent="0.3">
      <c r="A105">
        <v>1051</v>
      </c>
      <c r="B105" t="s">
        <v>163</v>
      </c>
      <c r="C105">
        <v>19</v>
      </c>
      <c r="D105" t="s">
        <v>24</v>
      </c>
      <c r="E105" t="s">
        <v>84</v>
      </c>
      <c r="F105" t="s">
        <v>761</v>
      </c>
      <c r="G105">
        <v>1</v>
      </c>
      <c r="H105" t="s">
        <v>17</v>
      </c>
      <c r="I105" s="2">
        <v>45350</v>
      </c>
      <c r="J105" t="s">
        <v>222</v>
      </c>
      <c r="K105" t="s">
        <v>40</v>
      </c>
      <c r="L105" t="s">
        <v>61</v>
      </c>
    </row>
    <row r="106" spans="1:12" x14ac:dyDescent="0.3">
      <c r="A106">
        <v>1428</v>
      </c>
      <c r="B106" t="s">
        <v>155</v>
      </c>
      <c r="C106">
        <v>22</v>
      </c>
      <c r="D106" t="s">
        <v>24</v>
      </c>
      <c r="E106" t="s">
        <v>156</v>
      </c>
      <c r="F106" t="s">
        <v>762</v>
      </c>
      <c r="G106">
        <v>4</v>
      </c>
      <c r="H106" t="s">
        <v>28</v>
      </c>
      <c r="I106" s="2">
        <v>45354</v>
      </c>
      <c r="J106" t="s">
        <v>368</v>
      </c>
      <c r="K106" t="s">
        <v>33</v>
      </c>
      <c r="L106" t="s">
        <v>101</v>
      </c>
    </row>
    <row r="107" spans="1:12" x14ac:dyDescent="0.3">
      <c r="A107">
        <v>1373</v>
      </c>
      <c r="B107" t="s">
        <v>12</v>
      </c>
      <c r="C107">
        <v>0</v>
      </c>
      <c r="D107" t="s">
        <v>24</v>
      </c>
      <c r="E107" t="s">
        <v>84</v>
      </c>
      <c r="F107" t="s">
        <v>763</v>
      </c>
      <c r="G107">
        <v>5</v>
      </c>
      <c r="H107" t="s">
        <v>908</v>
      </c>
      <c r="I107" s="2">
        <v>45428</v>
      </c>
      <c r="J107" t="s">
        <v>370</v>
      </c>
      <c r="K107" t="s">
        <v>60</v>
      </c>
      <c r="L107" t="s">
        <v>116</v>
      </c>
    </row>
    <row r="108" spans="1:12" x14ac:dyDescent="0.3">
      <c r="A108">
        <v>1233</v>
      </c>
      <c r="B108" t="s">
        <v>155</v>
      </c>
      <c r="C108">
        <v>0</v>
      </c>
      <c r="D108" t="s">
        <v>55</v>
      </c>
      <c r="E108" t="s">
        <v>167</v>
      </c>
      <c r="F108" t="s">
        <v>764</v>
      </c>
      <c r="G108">
        <v>5</v>
      </c>
      <c r="H108" t="s">
        <v>908</v>
      </c>
      <c r="I108" s="2">
        <v>45396</v>
      </c>
      <c r="J108" t="s">
        <v>373</v>
      </c>
      <c r="K108" t="s">
        <v>33</v>
      </c>
      <c r="L108" t="s">
        <v>21</v>
      </c>
    </row>
    <row r="109" spans="1:12" x14ac:dyDescent="0.3">
      <c r="A109">
        <v>1304</v>
      </c>
      <c r="B109" t="s">
        <v>74</v>
      </c>
      <c r="C109">
        <v>22</v>
      </c>
      <c r="D109" t="s">
        <v>24</v>
      </c>
      <c r="E109" t="s">
        <v>156</v>
      </c>
      <c r="F109" t="s">
        <v>765</v>
      </c>
      <c r="G109">
        <v>4</v>
      </c>
      <c r="H109" t="s">
        <v>908</v>
      </c>
      <c r="I109" s="2">
        <v>45333</v>
      </c>
      <c r="J109" t="s">
        <v>176</v>
      </c>
      <c r="K109" t="s">
        <v>60</v>
      </c>
      <c r="L109" t="s">
        <v>101</v>
      </c>
    </row>
    <row r="110" spans="1:12" x14ac:dyDescent="0.3">
      <c r="A110">
        <v>1056</v>
      </c>
      <c r="B110" t="s">
        <v>12</v>
      </c>
      <c r="C110">
        <v>22</v>
      </c>
      <c r="D110" t="s">
        <v>24</v>
      </c>
      <c r="E110" t="s">
        <v>25</v>
      </c>
      <c r="F110" t="s">
        <v>766</v>
      </c>
      <c r="G110">
        <v>5</v>
      </c>
      <c r="H110" t="s">
        <v>908</v>
      </c>
      <c r="I110" s="2">
        <v>45571</v>
      </c>
      <c r="J110" t="s">
        <v>377</v>
      </c>
      <c r="K110" t="s">
        <v>53</v>
      </c>
      <c r="L110" t="s">
        <v>116</v>
      </c>
    </row>
    <row r="111" spans="1:12" x14ac:dyDescent="0.3">
      <c r="A111">
        <v>1475</v>
      </c>
      <c r="B111" t="s">
        <v>74</v>
      </c>
      <c r="C111">
        <v>22</v>
      </c>
      <c r="D111" t="s">
        <v>55</v>
      </c>
      <c r="E111" t="s">
        <v>25</v>
      </c>
      <c r="F111" t="s">
        <v>767</v>
      </c>
      <c r="G111">
        <v>0</v>
      </c>
      <c r="H111" t="s">
        <v>28</v>
      </c>
      <c r="I111" s="2">
        <v>45426</v>
      </c>
      <c r="J111" t="s">
        <v>165</v>
      </c>
      <c r="K111" t="s">
        <v>20</v>
      </c>
      <c r="L111" t="s">
        <v>78</v>
      </c>
    </row>
    <row r="112" spans="1:12" x14ac:dyDescent="0.3">
      <c r="A112">
        <v>1433</v>
      </c>
      <c r="B112" t="s">
        <v>47</v>
      </c>
      <c r="C112">
        <v>25</v>
      </c>
      <c r="D112" t="s">
        <v>24</v>
      </c>
      <c r="E112" t="s">
        <v>156</v>
      </c>
      <c r="F112" t="s">
        <v>768</v>
      </c>
      <c r="G112">
        <v>1</v>
      </c>
      <c r="H112" t="s">
        <v>28</v>
      </c>
      <c r="I112" s="2">
        <v>45434</v>
      </c>
      <c r="J112" t="s">
        <v>339</v>
      </c>
      <c r="K112" t="s">
        <v>60</v>
      </c>
      <c r="L112" t="s">
        <v>31</v>
      </c>
    </row>
    <row r="113" spans="1:12" x14ac:dyDescent="0.3">
      <c r="A113">
        <v>1342</v>
      </c>
      <c r="B113" t="s">
        <v>12</v>
      </c>
      <c r="C113">
        <v>25</v>
      </c>
      <c r="D113" t="s">
        <v>55</v>
      </c>
      <c r="E113" t="s">
        <v>84</v>
      </c>
      <c r="F113" t="s">
        <v>769</v>
      </c>
      <c r="G113">
        <v>5</v>
      </c>
      <c r="H113" t="s">
        <v>17</v>
      </c>
      <c r="I113" s="2">
        <v>45537</v>
      </c>
      <c r="J113" t="s">
        <v>384</v>
      </c>
      <c r="K113" t="s">
        <v>20</v>
      </c>
      <c r="L113" t="s">
        <v>21</v>
      </c>
    </row>
    <row r="114" spans="1:12" x14ac:dyDescent="0.3">
      <c r="A114">
        <v>1003</v>
      </c>
      <c r="B114" t="s">
        <v>117</v>
      </c>
      <c r="C114">
        <v>22</v>
      </c>
      <c r="D114" t="s">
        <v>659</v>
      </c>
      <c r="E114" t="s">
        <v>25</v>
      </c>
      <c r="F114" t="s">
        <v>770</v>
      </c>
      <c r="G114">
        <v>5</v>
      </c>
      <c r="H114" t="s">
        <v>17</v>
      </c>
      <c r="I114" s="2">
        <v>45304</v>
      </c>
      <c r="J114" t="s">
        <v>386</v>
      </c>
      <c r="K114" t="s">
        <v>20</v>
      </c>
      <c r="L114" t="s">
        <v>78</v>
      </c>
    </row>
    <row r="115" spans="1:12" x14ac:dyDescent="0.3">
      <c r="A115">
        <v>1067</v>
      </c>
      <c r="B115" t="s">
        <v>163</v>
      </c>
      <c r="C115">
        <v>0</v>
      </c>
      <c r="D115" t="s">
        <v>55</v>
      </c>
      <c r="E115" t="s">
        <v>84</v>
      </c>
      <c r="F115" t="s">
        <v>771</v>
      </c>
      <c r="G115">
        <v>5</v>
      </c>
      <c r="H115" t="s">
        <v>28</v>
      </c>
      <c r="I115" s="2">
        <v>45323</v>
      </c>
      <c r="J115" t="s">
        <v>388</v>
      </c>
      <c r="K115" t="s">
        <v>20</v>
      </c>
      <c r="L115" t="s">
        <v>116</v>
      </c>
    </row>
    <row r="116" spans="1:12" x14ac:dyDescent="0.3">
      <c r="A116">
        <v>1139</v>
      </c>
      <c r="B116" t="s">
        <v>22</v>
      </c>
      <c r="C116">
        <v>22</v>
      </c>
      <c r="D116" t="s">
        <v>659</v>
      </c>
      <c r="E116" t="s">
        <v>84</v>
      </c>
      <c r="F116" t="s">
        <v>772</v>
      </c>
      <c r="G116">
        <v>4</v>
      </c>
      <c r="H116" t="s">
        <v>28</v>
      </c>
      <c r="I116" s="2">
        <v>45570</v>
      </c>
      <c r="J116" t="s">
        <v>391</v>
      </c>
      <c r="K116" t="s">
        <v>60</v>
      </c>
      <c r="L116" t="s">
        <v>78</v>
      </c>
    </row>
    <row r="117" spans="1:12" x14ac:dyDescent="0.3">
      <c r="A117">
        <v>1149</v>
      </c>
      <c r="B117" t="s">
        <v>136</v>
      </c>
      <c r="C117">
        <v>22</v>
      </c>
      <c r="D117" t="s">
        <v>55</v>
      </c>
      <c r="E117" t="s">
        <v>25</v>
      </c>
      <c r="F117" t="s">
        <v>773</v>
      </c>
      <c r="G117">
        <v>5</v>
      </c>
      <c r="H117" t="s">
        <v>17</v>
      </c>
      <c r="I117" s="2">
        <v>45386</v>
      </c>
      <c r="J117" t="s">
        <v>394</v>
      </c>
      <c r="K117" t="s">
        <v>33</v>
      </c>
      <c r="L117" t="s">
        <v>54</v>
      </c>
    </row>
    <row r="118" spans="1:12" x14ac:dyDescent="0.3">
      <c r="A118">
        <v>1473</v>
      </c>
      <c r="B118" t="s">
        <v>163</v>
      </c>
      <c r="C118">
        <v>19</v>
      </c>
      <c r="D118" t="s">
        <v>659</v>
      </c>
      <c r="E118" t="s">
        <v>84</v>
      </c>
      <c r="F118" t="s">
        <v>774</v>
      </c>
      <c r="G118">
        <v>0</v>
      </c>
      <c r="H118" t="s">
        <v>908</v>
      </c>
      <c r="I118" s="2">
        <v>45392</v>
      </c>
      <c r="J118" t="s">
        <v>396</v>
      </c>
      <c r="K118" t="s">
        <v>96</v>
      </c>
      <c r="L118" t="s">
        <v>41</v>
      </c>
    </row>
    <row r="119" spans="1:12" x14ac:dyDescent="0.3">
      <c r="A119">
        <v>1103</v>
      </c>
      <c r="B119" t="s">
        <v>117</v>
      </c>
      <c r="C119">
        <v>23</v>
      </c>
      <c r="D119" t="s">
        <v>24</v>
      </c>
      <c r="E119" t="s">
        <v>156</v>
      </c>
      <c r="F119" t="s">
        <v>775</v>
      </c>
      <c r="G119">
        <v>5</v>
      </c>
      <c r="H119" t="s">
        <v>76</v>
      </c>
      <c r="I119" s="2">
        <v>45413</v>
      </c>
      <c r="J119" t="s">
        <v>398</v>
      </c>
      <c r="K119" t="s">
        <v>60</v>
      </c>
      <c r="L119" t="s">
        <v>116</v>
      </c>
    </row>
    <row r="120" spans="1:12" x14ac:dyDescent="0.3">
      <c r="A120">
        <v>1489</v>
      </c>
      <c r="B120" t="s">
        <v>107</v>
      </c>
      <c r="C120">
        <v>23</v>
      </c>
      <c r="D120" t="s">
        <v>659</v>
      </c>
      <c r="E120" t="s">
        <v>84</v>
      </c>
      <c r="F120" t="s">
        <v>776</v>
      </c>
      <c r="G120">
        <v>5</v>
      </c>
      <c r="H120" t="s">
        <v>908</v>
      </c>
      <c r="I120" s="2">
        <v>45327</v>
      </c>
      <c r="J120" t="s">
        <v>115</v>
      </c>
      <c r="K120" t="s">
        <v>96</v>
      </c>
      <c r="L120" t="s">
        <v>78</v>
      </c>
    </row>
    <row r="121" spans="1:12" x14ac:dyDescent="0.3">
      <c r="A121">
        <v>1354</v>
      </c>
      <c r="B121" t="s">
        <v>22</v>
      </c>
      <c r="C121">
        <v>19</v>
      </c>
      <c r="D121" t="s">
        <v>24</v>
      </c>
      <c r="E121" t="s">
        <v>156</v>
      </c>
      <c r="F121" t="s">
        <v>777</v>
      </c>
      <c r="G121">
        <v>1</v>
      </c>
      <c r="H121" t="s">
        <v>28</v>
      </c>
      <c r="I121" s="2">
        <v>45316</v>
      </c>
      <c r="J121" t="s">
        <v>247</v>
      </c>
      <c r="K121" t="s">
        <v>96</v>
      </c>
      <c r="L121" t="s">
        <v>41</v>
      </c>
    </row>
    <row r="122" spans="1:12" x14ac:dyDescent="0.3">
      <c r="A122">
        <v>1003</v>
      </c>
      <c r="B122" t="s">
        <v>12</v>
      </c>
      <c r="C122">
        <v>22</v>
      </c>
      <c r="D122" t="s">
        <v>24</v>
      </c>
      <c r="E122" t="s">
        <v>25</v>
      </c>
      <c r="F122" t="s">
        <v>778</v>
      </c>
      <c r="G122">
        <v>1</v>
      </c>
      <c r="H122" t="s">
        <v>908</v>
      </c>
      <c r="I122" s="2">
        <v>45457</v>
      </c>
      <c r="J122" t="s">
        <v>404</v>
      </c>
      <c r="K122" t="s">
        <v>40</v>
      </c>
      <c r="L122" t="s">
        <v>61</v>
      </c>
    </row>
    <row r="123" spans="1:12" x14ac:dyDescent="0.3">
      <c r="A123">
        <v>1395</v>
      </c>
      <c r="B123" t="s">
        <v>120</v>
      </c>
      <c r="C123">
        <v>0</v>
      </c>
      <c r="D123" t="s">
        <v>24</v>
      </c>
      <c r="E123" t="s">
        <v>25</v>
      </c>
      <c r="F123" t="s">
        <v>779</v>
      </c>
      <c r="G123">
        <v>4</v>
      </c>
      <c r="H123" t="s">
        <v>17</v>
      </c>
      <c r="I123" s="2">
        <v>45435</v>
      </c>
      <c r="J123" t="s">
        <v>407</v>
      </c>
      <c r="K123" t="s">
        <v>33</v>
      </c>
      <c r="L123" t="s">
        <v>31</v>
      </c>
    </row>
    <row r="124" spans="1:12" x14ac:dyDescent="0.3">
      <c r="A124">
        <v>1259</v>
      </c>
      <c r="B124" t="s">
        <v>47</v>
      </c>
      <c r="C124">
        <v>23</v>
      </c>
      <c r="D124" t="s">
        <v>55</v>
      </c>
      <c r="E124" t="s">
        <v>25</v>
      </c>
      <c r="F124" t="s">
        <v>780</v>
      </c>
      <c r="G124">
        <v>1</v>
      </c>
      <c r="H124" t="s">
        <v>908</v>
      </c>
      <c r="I124" s="2">
        <v>45325</v>
      </c>
      <c r="J124" t="s">
        <v>409</v>
      </c>
      <c r="K124" t="s">
        <v>20</v>
      </c>
      <c r="L124" t="s">
        <v>41</v>
      </c>
    </row>
    <row r="125" spans="1:12" x14ac:dyDescent="0.3">
      <c r="A125">
        <v>1243</v>
      </c>
      <c r="B125" t="s">
        <v>163</v>
      </c>
      <c r="C125">
        <v>19</v>
      </c>
      <c r="D125" t="s">
        <v>24</v>
      </c>
      <c r="E125" t="s">
        <v>167</v>
      </c>
      <c r="F125" t="s">
        <v>781</v>
      </c>
      <c r="G125">
        <v>1</v>
      </c>
      <c r="H125" t="s">
        <v>28</v>
      </c>
      <c r="I125" s="2">
        <v>45315</v>
      </c>
      <c r="J125" t="s">
        <v>412</v>
      </c>
      <c r="K125" t="s">
        <v>33</v>
      </c>
      <c r="L125" t="s">
        <v>78</v>
      </c>
    </row>
    <row r="126" spans="1:12" x14ac:dyDescent="0.3">
      <c r="A126">
        <v>1222</v>
      </c>
      <c r="B126" t="s">
        <v>47</v>
      </c>
      <c r="C126">
        <v>18</v>
      </c>
      <c r="D126" t="s">
        <v>55</v>
      </c>
      <c r="E126" t="s">
        <v>167</v>
      </c>
      <c r="F126" t="s">
        <v>782</v>
      </c>
      <c r="G126">
        <v>2</v>
      </c>
      <c r="H126" t="s">
        <v>908</v>
      </c>
      <c r="I126" s="2">
        <v>45417</v>
      </c>
      <c r="J126" t="s">
        <v>414</v>
      </c>
      <c r="K126" t="s">
        <v>20</v>
      </c>
      <c r="L126" t="s">
        <v>78</v>
      </c>
    </row>
    <row r="127" spans="1:12" x14ac:dyDescent="0.3">
      <c r="A127">
        <v>1262</v>
      </c>
      <c r="B127" t="s">
        <v>74</v>
      </c>
      <c r="C127">
        <v>24</v>
      </c>
      <c r="D127" t="s">
        <v>659</v>
      </c>
      <c r="E127" t="s">
        <v>25</v>
      </c>
      <c r="F127" t="s">
        <v>783</v>
      </c>
      <c r="G127">
        <v>5</v>
      </c>
      <c r="H127" t="s">
        <v>908</v>
      </c>
      <c r="I127" s="2">
        <v>45462</v>
      </c>
      <c r="J127" t="s">
        <v>417</v>
      </c>
      <c r="K127" t="s">
        <v>33</v>
      </c>
      <c r="L127" t="s">
        <v>41</v>
      </c>
    </row>
    <row r="128" spans="1:12" x14ac:dyDescent="0.3">
      <c r="A128">
        <v>1265</v>
      </c>
      <c r="B128" t="s">
        <v>74</v>
      </c>
      <c r="C128">
        <v>18</v>
      </c>
      <c r="D128" t="s">
        <v>55</v>
      </c>
      <c r="E128" t="s">
        <v>84</v>
      </c>
      <c r="F128" t="s">
        <v>784</v>
      </c>
      <c r="G128">
        <v>1</v>
      </c>
      <c r="H128" t="s">
        <v>908</v>
      </c>
      <c r="I128" s="2">
        <v>45360</v>
      </c>
      <c r="J128" t="s">
        <v>132</v>
      </c>
      <c r="K128" t="s">
        <v>33</v>
      </c>
      <c r="L128" t="s">
        <v>116</v>
      </c>
    </row>
    <row r="129" spans="1:12" x14ac:dyDescent="0.3">
      <c r="A129">
        <v>1087</v>
      </c>
      <c r="B129" t="s">
        <v>74</v>
      </c>
      <c r="C129">
        <v>22</v>
      </c>
      <c r="D129" t="s">
        <v>55</v>
      </c>
      <c r="E129" t="s">
        <v>84</v>
      </c>
      <c r="F129" t="s">
        <v>785</v>
      </c>
      <c r="G129">
        <v>1</v>
      </c>
      <c r="H129" t="s">
        <v>28</v>
      </c>
      <c r="I129" s="2">
        <v>45456</v>
      </c>
      <c r="J129" t="s">
        <v>73</v>
      </c>
      <c r="K129" t="s">
        <v>53</v>
      </c>
      <c r="L129" t="s">
        <v>31</v>
      </c>
    </row>
    <row r="130" spans="1:12" x14ac:dyDescent="0.3">
      <c r="A130">
        <v>1014</v>
      </c>
      <c r="B130" t="s">
        <v>107</v>
      </c>
      <c r="C130">
        <v>22</v>
      </c>
      <c r="D130" t="s">
        <v>659</v>
      </c>
      <c r="E130" t="s">
        <v>25</v>
      </c>
      <c r="F130" t="s">
        <v>786</v>
      </c>
      <c r="G130">
        <v>2</v>
      </c>
      <c r="H130" t="s">
        <v>17</v>
      </c>
      <c r="I130" s="2">
        <v>45430</v>
      </c>
      <c r="J130" t="s">
        <v>411</v>
      </c>
      <c r="K130" t="s">
        <v>40</v>
      </c>
      <c r="L130" t="s">
        <v>116</v>
      </c>
    </row>
    <row r="131" spans="1:12" x14ac:dyDescent="0.3">
      <c r="A131">
        <v>1486</v>
      </c>
      <c r="B131" t="s">
        <v>47</v>
      </c>
      <c r="C131">
        <v>24</v>
      </c>
      <c r="D131" t="s">
        <v>55</v>
      </c>
      <c r="E131" t="s">
        <v>84</v>
      </c>
      <c r="F131" t="s">
        <v>787</v>
      </c>
      <c r="G131">
        <v>3</v>
      </c>
      <c r="H131" t="s">
        <v>17</v>
      </c>
      <c r="I131" s="2">
        <v>45352</v>
      </c>
      <c r="J131" t="s">
        <v>216</v>
      </c>
      <c r="K131" t="s">
        <v>96</v>
      </c>
      <c r="L131" t="s">
        <v>54</v>
      </c>
    </row>
    <row r="132" spans="1:12" x14ac:dyDescent="0.3">
      <c r="A132">
        <v>1467</v>
      </c>
      <c r="B132" t="s">
        <v>117</v>
      </c>
      <c r="C132">
        <v>0</v>
      </c>
      <c r="D132" t="s">
        <v>659</v>
      </c>
      <c r="E132" t="s">
        <v>84</v>
      </c>
      <c r="F132" t="s">
        <v>788</v>
      </c>
      <c r="G132">
        <v>4</v>
      </c>
      <c r="H132" t="s">
        <v>28</v>
      </c>
      <c r="I132" s="2">
        <v>45444</v>
      </c>
      <c r="J132" t="s">
        <v>368</v>
      </c>
      <c r="K132" t="s">
        <v>96</v>
      </c>
      <c r="L132" t="s">
        <v>78</v>
      </c>
    </row>
    <row r="133" spans="1:12" x14ac:dyDescent="0.3">
      <c r="A133">
        <v>1377</v>
      </c>
      <c r="B133" t="s">
        <v>47</v>
      </c>
      <c r="C133">
        <v>0</v>
      </c>
      <c r="D133" t="s">
        <v>55</v>
      </c>
      <c r="E133" t="s">
        <v>167</v>
      </c>
      <c r="F133" t="s">
        <v>789</v>
      </c>
      <c r="G133">
        <v>4</v>
      </c>
      <c r="H133" t="s">
        <v>908</v>
      </c>
      <c r="I133" s="2">
        <v>45353</v>
      </c>
      <c r="J133" t="s">
        <v>428</v>
      </c>
      <c r="K133" t="s">
        <v>20</v>
      </c>
      <c r="L133" t="s">
        <v>21</v>
      </c>
    </row>
    <row r="134" spans="1:12" x14ac:dyDescent="0.3">
      <c r="A134">
        <v>1198</v>
      </c>
      <c r="B134" t="s">
        <v>107</v>
      </c>
      <c r="C134">
        <v>22</v>
      </c>
      <c r="D134" t="s">
        <v>24</v>
      </c>
      <c r="E134" t="s">
        <v>25</v>
      </c>
      <c r="F134" t="s">
        <v>790</v>
      </c>
      <c r="G134">
        <v>1</v>
      </c>
      <c r="H134" t="s">
        <v>28</v>
      </c>
      <c r="I134" s="2">
        <v>45323</v>
      </c>
      <c r="J134" t="s">
        <v>431</v>
      </c>
      <c r="K134" t="s">
        <v>60</v>
      </c>
      <c r="L134" t="s">
        <v>101</v>
      </c>
    </row>
    <row r="135" spans="1:12" x14ac:dyDescent="0.3">
      <c r="A135">
        <v>1140</v>
      </c>
      <c r="B135" t="s">
        <v>163</v>
      </c>
      <c r="C135">
        <v>23</v>
      </c>
      <c r="D135" t="s">
        <v>55</v>
      </c>
      <c r="E135" t="s">
        <v>167</v>
      </c>
      <c r="F135" t="s">
        <v>791</v>
      </c>
      <c r="G135">
        <v>3</v>
      </c>
      <c r="H135" t="s">
        <v>17</v>
      </c>
      <c r="I135" s="2">
        <v>45537</v>
      </c>
      <c r="J135" t="s">
        <v>433</v>
      </c>
      <c r="K135" t="s">
        <v>33</v>
      </c>
      <c r="L135" t="s">
        <v>31</v>
      </c>
    </row>
    <row r="136" spans="1:12" x14ac:dyDescent="0.3">
      <c r="A136">
        <v>1438</v>
      </c>
      <c r="B136" t="s">
        <v>107</v>
      </c>
      <c r="C136">
        <v>21</v>
      </c>
      <c r="D136" t="s">
        <v>24</v>
      </c>
      <c r="E136" t="s">
        <v>84</v>
      </c>
      <c r="F136" t="s">
        <v>792</v>
      </c>
      <c r="G136">
        <v>5</v>
      </c>
      <c r="H136" t="s">
        <v>908</v>
      </c>
      <c r="I136" s="2">
        <v>45386</v>
      </c>
      <c r="J136" t="s">
        <v>435</v>
      </c>
      <c r="K136" t="s">
        <v>20</v>
      </c>
      <c r="L136" t="s">
        <v>78</v>
      </c>
    </row>
    <row r="137" spans="1:12" x14ac:dyDescent="0.3">
      <c r="A137">
        <v>1027</v>
      </c>
      <c r="B137" t="s">
        <v>22</v>
      </c>
      <c r="C137">
        <v>22</v>
      </c>
      <c r="D137" t="s">
        <v>659</v>
      </c>
      <c r="E137" t="s">
        <v>25</v>
      </c>
      <c r="F137" t="s">
        <v>793</v>
      </c>
      <c r="G137">
        <v>4</v>
      </c>
      <c r="H137" t="s">
        <v>908</v>
      </c>
      <c r="I137" s="2">
        <v>45348</v>
      </c>
      <c r="J137" t="s">
        <v>437</v>
      </c>
      <c r="K137" t="s">
        <v>96</v>
      </c>
      <c r="L137" t="s">
        <v>41</v>
      </c>
    </row>
    <row r="138" spans="1:12" x14ac:dyDescent="0.3">
      <c r="A138">
        <v>1294</v>
      </c>
      <c r="B138" t="s">
        <v>163</v>
      </c>
      <c r="C138">
        <v>24</v>
      </c>
      <c r="D138" t="s">
        <v>24</v>
      </c>
      <c r="E138" t="s">
        <v>25</v>
      </c>
      <c r="F138" t="s">
        <v>794</v>
      </c>
      <c r="G138">
        <v>5</v>
      </c>
      <c r="H138" t="s">
        <v>908</v>
      </c>
      <c r="I138" s="2">
        <v>45324</v>
      </c>
      <c r="J138" t="s">
        <v>440</v>
      </c>
      <c r="K138" t="s">
        <v>33</v>
      </c>
      <c r="L138" t="s">
        <v>21</v>
      </c>
    </row>
    <row r="139" spans="1:12" x14ac:dyDescent="0.3">
      <c r="A139">
        <v>1401</v>
      </c>
      <c r="B139" t="s">
        <v>47</v>
      </c>
      <c r="C139">
        <v>0</v>
      </c>
      <c r="D139" t="s">
        <v>55</v>
      </c>
      <c r="E139" t="s">
        <v>156</v>
      </c>
      <c r="F139" t="s">
        <v>795</v>
      </c>
      <c r="G139">
        <v>5</v>
      </c>
      <c r="H139" t="s">
        <v>908</v>
      </c>
      <c r="I139" s="2">
        <v>45571</v>
      </c>
      <c r="J139" t="s">
        <v>442</v>
      </c>
      <c r="K139" t="s">
        <v>20</v>
      </c>
      <c r="L139" t="s">
        <v>31</v>
      </c>
    </row>
    <row r="140" spans="1:12" x14ac:dyDescent="0.3">
      <c r="A140">
        <v>1445</v>
      </c>
      <c r="B140" t="s">
        <v>22</v>
      </c>
      <c r="C140">
        <v>0</v>
      </c>
      <c r="D140" t="s">
        <v>24</v>
      </c>
      <c r="E140" t="s">
        <v>84</v>
      </c>
      <c r="F140" t="s">
        <v>796</v>
      </c>
      <c r="G140">
        <v>5</v>
      </c>
      <c r="H140" t="s">
        <v>17</v>
      </c>
      <c r="I140" s="2">
        <v>45430</v>
      </c>
      <c r="J140" t="s">
        <v>132</v>
      </c>
      <c r="K140" t="s">
        <v>60</v>
      </c>
      <c r="L140" t="s">
        <v>21</v>
      </c>
    </row>
    <row r="141" spans="1:12" x14ac:dyDescent="0.3">
      <c r="A141">
        <v>1366</v>
      </c>
      <c r="B141" t="s">
        <v>163</v>
      </c>
      <c r="C141">
        <v>20</v>
      </c>
      <c r="D141" t="s">
        <v>659</v>
      </c>
      <c r="E141" t="s">
        <v>84</v>
      </c>
      <c r="F141" t="s">
        <v>797</v>
      </c>
      <c r="G141">
        <v>0</v>
      </c>
      <c r="H141" t="s">
        <v>17</v>
      </c>
      <c r="I141" s="2">
        <v>45327</v>
      </c>
      <c r="J141" t="s">
        <v>271</v>
      </c>
      <c r="K141" t="s">
        <v>20</v>
      </c>
      <c r="L141" t="s">
        <v>54</v>
      </c>
    </row>
    <row r="142" spans="1:12" x14ac:dyDescent="0.3">
      <c r="A142">
        <v>1330</v>
      </c>
      <c r="B142" t="s">
        <v>107</v>
      </c>
      <c r="C142">
        <v>23</v>
      </c>
      <c r="D142" t="s">
        <v>55</v>
      </c>
      <c r="E142" t="s">
        <v>167</v>
      </c>
      <c r="F142" t="s">
        <v>798</v>
      </c>
      <c r="G142">
        <v>0</v>
      </c>
      <c r="H142" t="s">
        <v>908</v>
      </c>
      <c r="I142" s="2">
        <v>45432</v>
      </c>
      <c r="J142" t="s">
        <v>193</v>
      </c>
      <c r="K142" t="s">
        <v>96</v>
      </c>
      <c r="L142" t="s">
        <v>61</v>
      </c>
    </row>
    <row r="143" spans="1:12" x14ac:dyDescent="0.3">
      <c r="A143">
        <v>1355</v>
      </c>
      <c r="B143" t="s">
        <v>117</v>
      </c>
      <c r="C143">
        <v>20</v>
      </c>
      <c r="D143" t="s">
        <v>55</v>
      </c>
      <c r="E143" t="s">
        <v>84</v>
      </c>
      <c r="F143" t="s">
        <v>799</v>
      </c>
      <c r="G143">
        <v>3</v>
      </c>
      <c r="H143" t="s">
        <v>17</v>
      </c>
      <c r="I143" s="2">
        <v>45362</v>
      </c>
      <c r="J143" t="s">
        <v>449</v>
      </c>
      <c r="K143" t="s">
        <v>53</v>
      </c>
      <c r="L143" t="s">
        <v>101</v>
      </c>
    </row>
    <row r="144" spans="1:12" x14ac:dyDescent="0.3">
      <c r="A144">
        <v>1116</v>
      </c>
      <c r="B144" t="s">
        <v>12</v>
      </c>
      <c r="C144">
        <v>22</v>
      </c>
      <c r="D144" t="s">
        <v>55</v>
      </c>
      <c r="E144" t="s">
        <v>25</v>
      </c>
      <c r="F144" t="s">
        <v>800</v>
      </c>
      <c r="G144">
        <v>5</v>
      </c>
      <c r="H144" t="s">
        <v>17</v>
      </c>
      <c r="I144" s="2">
        <v>45433</v>
      </c>
      <c r="J144" t="s">
        <v>451</v>
      </c>
      <c r="K144" t="s">
        <v>96</v>
      </c>
      <c r="L144" t="s">
        <v>61</v>
      </c>
    </row>
    <row r="145" spans="1:12" x14ac:dyDescent="0.3">
      <c r="A145">
        <v>1099</v>
      </c>
      <c r="B145" t="s">
        <v>163</v>
      </c>
      <c r="C145">
        <v>0</v>
      </c>
      <c r="D145" t="s">
        <v>24</v>
      </c>
      <c r="E145" t="s">
        <v>156</v>
      </c>
      <c r="F145" t="s">
        <v>801</v>
      </c>
      <c r="G145">
        <v>1</v>
      </c>
      <c r="H145" t="s">
        <v>28</v>
      </c>
      <c r="I145" s="2">
        <v>45378</v>
      </c>
      <c r="J145" t="s">
        <v>352</v>
      </c>
      <c r="K145" t="s">
        <v>20</v>
      </c>
      <c r="L145" t="s">
        <v>101</v>
      </c>
    </row>
    <row r="146" spans="1:12" x14ac:dyDescent="0.3">
      <c r="A146">
        <v>1193</v>
      </c>
      <c r="B146" t="s">
        <v>107</v>
      </c>
      <c r="C146">
        <v>21</v>
      </c>
      <c r="D146" t="s">
        <v>55</v>
      </c>
      <c r="E146" t="s">
        <v>25</v>
      </c>
      <c r="F146" t="s">
        <v>802</v>
      </c>
      <c r="G146">
        <v>4</v>
      </c>
      <c r="H146" t="s">
        <v>908</v>
      </c>
      <c r="I146" s="2">
        <v>45397</v>
      </c>
      <c r="J146" t="s">
        <v>407</v>
      </c>
      <c r="K146" t="s">
        <v>53</v>
      </c>
      <c r="L146" t="s">
        <v>21</v>
      </c>
    </row>
    <row r="147" spans="1:12" x14ac:dyDescent="0.3">
      <c r="A147">
        <v>1303</v>
      </c>
      <c r="B147" t="s">
        <v>120</v>
      </c>
      <c r="C147">
        <v>20</v>
      </c>
      <c r="D147" t="s">
        <v>55</v>
      </c>
      <c r="E147" t="s">
        <v>167</v>
      </c>
      <c r="F147" t="s">
        <v>803</v>
      </c>
      <c r="G147">
        <v>1</v>
      </c>
      <c r="H147" t="s">
        <v>17</v>
      </c>
      <c r="I147" s="2">
        <v>45450</v>
      </c>
      <c r="J147" t="s">
        <v>458</v>
      </c>
      <c r="K147" t="s">
        <v>96</v>
      </c>
      <c r="L147" t="s">
        <v>54</v>
      </c>
    </row>
    <row r="148" spans="1:12" x14ac:dyDescent="0.3">
      <c r="A148">
        <v>1493</v>
      </c>
      <c r="B148" t="s">
        <v>74</v>
      </c>
      <c r="C148">
        <v>0</v>
      </c>
      <c r="D148" t="s">
        <v>659</v>
      </c>
      <c r="E148" t="s">
        <v>25</v>
      </c>
      <c r="F148" t="s">
        <v>804</v>
      </c>
      <c r="G148">
        <v>4</v>
      </c>
      <c r="H148" t="s">
        <v>908</v>
      </c>
      <c r="I148" s="2">
        <v>45336</v>
      </c>
      <c r="J148" t="s">
        <v>461</v>
      </c>
      <c r="K148" t="s">
        <v>60</v>
      </c>
      <c r="L148" t="s">
        <v>116</v>
      </c>
    </row>
    <row r="149" spans="1:12" x14ac:dyDescent="0.3">
      <c r="A149">
        <v>1016</v>
      </c>
      <c r="B149" t="s">
        <v>120</v>
      </c>
      <c r="C149">
        <v>22</v>
      </c>
      <c r="D149" t="s">
        <v>24</v>
      </c>
      <c r="E149" t="s">
        <v>84</v>
      </c>
      <c r="F149" t="s">
        <v>805</v>
      </c>
      <c r="G149">
        <v>5</v>
      </c>
      <c r="H149" t="s">
        <v>28</v>
      </c>
      <c r="I149" s="2">
        <v>45628</v>
      </c>
      <c r="J149" t="s">
        <v>411</v>
      </c>
      <c r="K149" t="s">
        <v>60</v>
      </c>
      <c r="L149" t="s">
        <v>54</v>
      </c>
    </row>
    <row r="150" spans="1:12" x14ac:dyDescent="0.3">
      <c r="A150">
        <v>1133</v>
      </c>
      <c r="B150" t="s">
        <v>12</v>
      </c>
      <c r="C150">
        <v>19</v>
      </c>
      <c r="D150" t="s">
        <v>55</v>
      </c>
      <c r="E150" t="s">
        <v>156</v>
      </c>
      <c r="F150" t="s">
        <v>806</v>
      </c>
      <c r="G150">
        <v>1</v>
      </c>
      <c r="H150" t="s">
        <v>17</v>
      </c>
      <c r="I150" s="2">
        <v>45365</v>
      </c>
      <c r="J150" t="s">
        <v>67</v>
      </c>
      <c r="K150" t="s">
        <v>96</v>
      </c>
      <c r="L150" t="s">
        <v>41</v>
      </c>
    </row>
    <row r="151" spans="1:12" x14ac:dyDescent="0.3">
      <c r="A151">
        <v>1360</v>
      </c>
      <c r="B151" t="s">
        <v>47</v>
      </c>
      <c r="C151">
        <v>18</v>
      </c>
      <c r="D151" t="s">
        <v>55</v>
      </c>
      <c r="E151" t="s">
        <v>167</v>
      </c>
      <c r="F151" t="s">
        <v>807</v>
      </c>
      <c r="G151">
        <v>1</v>
      </c>
      <c r="H151" t="s">
        <v>908</v>
      </c>
      <c r="I151" s="2">
        <v>45311</v>
      </c>
      <c r="J151" t="s">
        <v>147</v>
      </c>
      <c r="K151" t="s">
        <v>60</v>
      </c>
      <c r="L151" t="s">
        <v>78</v>
      </c>
    </row>
    <row r="152" spans="1:12" x14ac:dyDescent="0.3">
      <c r="A152">
        <v>1109</v>
      </c>
      <c r="B152" t="s">
        <v>120</v>
      </c>
      <c r="C152">
        <v>24</v>
      </c>
      <c r="D152" t="s">
        <v>24</v>
      </c>
      <c r="E152" t="s">
        <v>84</v>
      </c>
      <c r="F152" t="s">
        <v>808</v>
      </c>
      <c r="G152">
        <v>1</v>
      </c>
      <c r="H152" t="s">
        <v>17</v>
      </c>
      <c r="I152" s="2">
        <v>45364</v>
      </c>
      <c r="J152" t="s">
        <v>467</v>
      </c>
      <c r="K152" t="s">
        <v>53</v>
      </c>
      <c r="L152" t="s">
        <v>21</v>
      </c>
    </row>
    <row r="153" spans="1:12" x14ac:dyDescent="0.3">
      <c r="A153">
        <v>1086</v>
      </c>
      <c r="B153" t="s">
        <v>117</v>
      </c>
      <c r="C153">
        <v>19</v>
      </c>
      <c r="D153" t="s">
        <v>24</v>
      </c>
      <c r="E153" t="s">
        <v>25</v>
      </c>
      <c r="F153" t="s">
        <v>809</v>
      </c>
      <c r="G153">
        <v>4</v>
      </c>
      <c r="H153" t="s">
        <v>17</v>
      </c>
      <c r="I153" s="2">
        <v>45370</v>
      </c>
      <c r="J153" t="s">
        <v>388</v>
      </c>
      <c r="K153" t="s">
        <v>40</v>
      </c>
      <c r="L153" t="s">
        <v>101</v>
      </c>
    </row>
    <row r="154" spans="1:12" x14ac:dyDescent="0.3">
      <c r="A154">
        <v>1046</v>
      </c>
      <c r="B154" t="s">
        <v>155</v>
      </c>
      <c r="C154">
        <v>0</v>
      </c>
      <c r="D154" t="s">
        <v>24</v>
      </c>
      <c r="E154" t="s">
        <v>25</v>
      </c>
      <c r="F154" t="s">
        <v>810</v>
      </c>
      <c r="G154">
        <v>3</v>
      </c>
      <c r="H154" t="s">
        <v>17</v>
      </c>
      <c r="I154" s="2">
        <v>45423</v>
      </c>
      <c r="J154" t="s">
        <v>472</v>
      </c>
      <c r="K154" t="s">
        <v>96</v>
      </c>
      <c r="L154" t="s">
        <v>101</v>
      </c>
    </row>
    <row r="155" spans="1:12" x14ac:dyDescent="0.3">
      <c r="A155">
        <v>1271</v>
      </c>
      <c r="B155" t="s">
        <v>74</v>
      </c>
      <c r="C155">
        <v>19</v>
      </c>
      <c r="D155" t="s">
        <v>55</v>
      </c>
      <c r="E155" t="s">
        <v>84</v>
      </c>
      <c r="F155" t="s">
        <v>811</v>
      </c>
      <c r="G155">
        <v>2</v>
      </c>
      <c r="H155" t="s">
        <v>28</v>
      </c>
      <c r="I155" s="2">
        <v>45345</v>
      </c>
      <c r="J155" t="s">
        <v>317</v>
      </c>
      <c r="K155" t="s">
        <v>20</v>
      </c>
      <c r="L155" t="s">
        <v>101</v>
      </c>
    </row>
    <row r="156" spans="1:12" x14ac:dyDescent="0.3">
      <c r="A156">
        <v>1315</v>
      </c>
      <c r="B156" t="s">
        <v>12</v>
      </c>
      <c r="C156">
        <v>23</v>
      </c>
      <c r="D156" t="s">
        <v>24</v>
      </c>
      <c r="E156" t="s">
        <v>84</v>
      </c>
      <c r="F156" t="s">
        <v>812</v>
      </c>
      <c r="G156">
        <v>0</v>
      </c>
      <c r="H156" t="s">
        <v>908</v>
      </c>
      <c r="I156" s="2">
        <v>45397</v>
      </c>
      <c r="J156" t="s">
        <v>476</v>
      </c>
      <c r="K156" t="s">
        <v>33</v>
      </c>
      <c r="L156" t="s">
        <v>21</v>
      </c>
    </row>
    <row r="157" spans="1:12" x14ac:dyDescent="0.3">
      <c r="A157">
        <v>1296</v>
      </c>
      <c r="B157" t="s">
        <v>107</v>
      </c>
      <c r="C157">
        <v>24</v>
      </c>
      <c r="D157" t="s">
        <v>55</v>
      </c>
      <c r="E157" t="s">
        <v>25</v>
      </c>
      <c r="F157" t="s">
        <v>813</v>
      </c>
      <c r="G157">
        <v>4</v>
      </c>
      <c r="H157" t="s">
        <v>28</v>
      </c>
      <c r="I157" s="2">
        <v>45358</v>
      </c>
      <c r="J157" t="s">
        <v>478</v>
      </c>
      <c r="K157" t="s">
        <v>96</v>
      </c>
      <c r="L157" t="s">
        <v>31</v>
      </c>
    </row>
    <row r="158" spans="1:12" x14ac:dyDescent="0.3">
      <c r="A158">
        <v>1409</v>
      </c>
      <c r="B158" t="s">
        <v>163</v>
      </c>
      <c r="C158">
        <v>23</v>
      </c>
      <c r="D158" t="s">
        <v>659</v>
      </c>
      <c r="E158" t="s">
        <v>25</v>
      </c>
      <c r="F158" t="s">
        <v>814</v>
      </c>
      <c r="G158">
        <v>1</v>
      </c>
      <c r="H158" t="s">
        <v>28</v>
      </c>
      <c r="I158" s="2">
        <v>45466</v>
      </c>
      <c r="J158" t="s">
        <v>481</v>
      </c>
      <c r="K158" t="s">
        <v>33</v>
      </c>
      <c r="L158" t="s">
        <v>61</v>
      </c>
    </row>
    <row r="159" spans="1:12" x14ac:dyDescent="0.3">
      <c r="A159">
        <v>1301</v>
      </c>
      <c r="B159" t="s">
        <v>120</v>
      </c>
      <c r="C159">
        <v>24</v>
      </c>
      <c r="D159" t="s">
        <v>55</v>
      </c>
      <c r="E159" t="s">
        <v>84</v>
      </c>
      <c r="F159" t="s">
        <v>815</v>
      </c>
      <c r="G159">
        <v>1</v>
      </c>
      <c r="H159" t="s">
        <v>28</v>
      </c>
      <c r="I159" s="2">
        <v>45375</v>
      </c>
      <c r="J159" t="s">
        <v>233</v>
      </c>
      <c r="K159" t="s">
        <v>96</v>
      </c>
      <c r="L159" t="s">
        <v>101</v>
      </c>
    </row>
    <row r="160" spans="1:12" x14ac:dyDescent="0.3">
      <c r="A160">
        <v>1433</v>
      </c>
      <c r="B160" t="s">
        <v>120</v>
      </c>
      <c r="C160">
        <v>18</v>
      </c>
      <c r="D160" t="s">
        <v>55</v>
      </c>
      <c r="E160" t="s">
        <v>156</v>
      </c>
      <c r="F160" t="s">
        <v>816</v>
      </c>
      <c r="G160">
        <v>1</v>
      </c>
      <c r="H160" t="s">
        <v>17</v>
      </c>
      <c r="I160" s="2">
        <v>45405</v>
      </c>
      <c r="J160" t="s">
        <v>485</v>
      </c>
      <c r="K160" t="s">
        <v>60</v>
      </c>
      <c r="L160" t="s">
        <v>116</v>
      </c>
    </row>
    <row r="161" spans="1:12" x14ac:dyDescent="0.3">
      <c r="A161">
        <v>1256</v>
      </c>
      <c r="B161" t="s">
        <v>155</v>
      </c>
      <c r="C161">
        <v>22</v>
      </c>
      <c r="D161" t="s">
        <v>659</v>
      </c>
      <c r="E161" t="s">
        <v>156</v>
      </c>
      <c r="F161" t="s">
        <v>817</v>
      </c>
      <c r="G161">
        <v>1</v>
      </c>
      <c r="H161" t="s">
        <v>17</v>
      </c>
      <c r="I161" s="2">
        <v>45389</v>
      </c>
      <c r="J161" t="s">
        <v>488</v>
      </c>
      <c r="K161" t="s">
        <v>60</v>
      </c>
      <c r="L161" t="s">
        <v>54</v>
      </c>
    </row>
    <row r="162" spans="1:12" x14ac:dyDescent="0.3">
      <c r="A162">
        <v>1419</v>
      </c>
      <c r="B162" t="s">
        <v>117</v>
      </c>
      <c r="C162">
        <v>0</v>
      </c>
      <c r="D162" t="s">
        <v>55</v>
      </c>
      <c r="E162" t="s">
        <v>84</v>
      </c>
      <c r="F162" t="s">
        <v>818</v>
      </c>
      <c r="G162">
        <v>2</v>
      </c>
      <c r="H162" t="s">
        <v>17</v>
      </c>
      <c r="I162" s="2">
        <v>45457</v>
      </c>
      <c r="J162" t="s">
        <v>227</v>
      </c>
      <c r="K162" t="s">
        <v>20</v>
      </c>
      <c r="L162" t="s">
        <v>116</v>
      </c>
    </row>
    <row r="163" spans="1:12" x14ac:dyDescent="0.3">
      <c r="A163">
        <v>1413</v>
      </c>
      <c r="B163" t="s">
        <v>107</v>
      </c>
      <c r="C163">
        <v>22</v>
      </c>
      <c r="D163" t="s">
        <v>55</v>
      </c>
      <c r="E163" t="s">
        <v>84</v>
      </c>
      <c r="F163" t="s">
        <v>819</v>
      </c>
      <c r="G163">
        <v>4</v>
      </c>
      <c r="H163" t="s">
        <v>17</v>
      </c>
      <c r="I163" s="2">
        <v>45355</v>
      </c>
      <c r="J163" t="s">
        <v>493</v>
      </c>
      <c r="K163" t="s">
        <v>53</v>
      </c>
      <c r="L163" t="s">
        <v>54</v>
      </c>
    </row>
    <row r="164" spans="1:12" x14ac:dyDescent="0.3">
      <c r="A164">
        <v>1385</v>
      </c>
      <c r="B164" t="s">
        <v>22</v>
      </c>
      <c r="C164">
        <v>18</v>
      </c>
      <c r="D164" t="s">
        <v>55</v>
      </c>
      <c r="E164" t="s">
        <v>84</v>
      </c>
      <c r="F164" t="s">
        <v>820</v>
      </c>
      <c r="G164">
        <v>4</v>
      </c>
      <c r="H164" t="s">
        <v>17</v>
      </c>
      <c r="I164" s="2">
        <v>45311</v>
      </c>
      <c r="J164" t="s">
        <v>357</v>
      </c>
      <c r="K164" t="s">
        <v>53</v>
      </c>
      <c r="L164" t="s">
        <v>41</v>
      </c>
    </row>
    <row r="165" spans="1:12" x14ac:dyDescent="0.3">
      <c r="A165">
        <v>1467</v>
      </c>
      <c r="B165" t="s">
        <v>163</v>
      </c>
      <c r="C165">
        <v>0</v>
      </c>
      <c r="D165" t="s">
        <v>55</v>
      </c>
      <c r="E165" t="s">
        <v>167</v>
      </c>
      <c r="F165" t="s">
        <v>821</v>
      </c>
      <c r="G165">
        <v>5</v>
      </c>
      <c r="H165" t="s">
        <v>17</v>
      </c>
      <c r="I165" s="2">
        <v>45338</v>
      </c>
      <c r="J165" t="s">
        <v>277</v>
      </c>
      <c r="K165" t="s">
        <v>96</v>
      </c>
      <c r="L165" t="s">
        <v>41</v>
      </c>
    </row>
    <row r="166" spans="1:12" x14ac:dyDescent="0.3">
      <c r="A166">
        <v>1324</v>
      </c>
      <c r="B166" t="s">
        <v>107</v>
      </c>
      <c r="C166">
        <v>19</v>
      </c>
      <c r="D166" t="s">
        <v>659</v>
      </c>
      <c r="E166" t="s">
        <v>25</v>
      </c>
      <c r="F166" t="s">
        <v>822</v>
      </c>
      <c r="G166">
        <v>1</v>
      </c>
      <c r="H166" t="s">
        <v>28</v>
      </c>
      <c r="I166" s="2">
        <v>45461</v>
      </c>
      <c r="J166" t="s">
        <v>498</v>
      </c>
      <c r="K166" t="s">
        <v>60</v>
      </c>
      <c r="L166" t="s">
        <v>61</v>
      </c>
    </row>
    <row r="167" spans="1:12" x14ac:dyDescent="0.3">
      <c r="A167">
        <v>1414</v>
      </c>
      <c r="B167" t="s">
        <v>47</v>
      </c>
      <c r="C167">
        <v>18</v>
      </c>
      <c r="D167" t="s">
        <v>55</v>
      </c>
      <c r="E167" t="s">
        <v>167</v>
      </c>
      <c r="F167" t="s">
        <v>823</v>
      </c>
      <c r="G167">
        <v>5</v>
      </c>
      <c r="H167" t="s">
        <v>76</v>
      </c>
      <c r="I167" s="2">
        <v>45423</v>
      </c>
      <c r="J167" t="s">
        <v>255</v>
      </c>
      <c r="K167" t="s">
        <v>53</v>
      </c>
      <c r="L167" t="s">
        <v>31</v>
      </c>
    </row>
    <row r="168" spans="1:12" x14ac:dyDescent="0.3">
      <c r="A168">
        <v>1391</v>
      </c>
      <c r="B168" t="s">
        <v>12</v>
      </c>
      <c r="C168">
        <v>23</v>
      </c>
      <c r="D168" t="s">
        <v>24</v>
      </c>
      <c r="E168" t="s">
        <v>25</v>
      </c>
      <c r="F168" t="s">
        <v>824</v>
      </c>
      <c r="G168">
        <v>1</v>
      </c>
      <c r="H168" t="s">
        <v>28</v>
      </c>
      <c r="I168" s="2">
        <v>45407</v>
      </c>
      <c r="J168" t="s">
        <v>216</v>
      </c>
      <c r="K168" t="s">
        <v>40</v>
      </c>
      <c r="L168" t="s">
        <v>116</v>
      </c>
    </row>
    <row r="169" spans="1:12" x14ac:dyDescent="0.3">
      <c r="A169">
        <v>1349</v>
      </c>
      <c r="B169" t="s">
        <v>117</v>
      </c>
      <c r="C169">
        <v>24</v>
      </c>
      <c r="D169" t="s">
        <v>659</v>
      </c>
      <c r="E169" t="s">
        <v>84</v>
      </c>
      <c r="F169" t="s">
        <v>825</v>
      </c>
      <c r="G169">
        <v>5</v>
      </c>
      <c r="H169" t="s">
        <v>17</v>
      </c>
      <c r="I169" s="2">
        <v>45452</v>
      </c>
      <c r="J169" t="s">
        <v>300</v>
      </c>
      <c r="K169" t="s">
        <v>60</v>
      </c>
      <c r="L169" t="s">
        <v>21</v>
      </c>
    </row>
    <row r="170" spans="1:12" x14ac:dyDescent="0.3">
      <c r="A170">
        <v>1486</v>
      </c>
      <c r="B170" t="s">
        <v>136</v>
      </c>
      <c r="C170">
        <v>24</v>
      </c>
      <c r="D170" t="s">
        <v>55</v>
      </c>
      <c r="E170" t="s">
        <v>25</v>
      </c>
      <c r="F170" t="s">
        <v>826</v>
      </c>
      <c r="G170">
        <v>4</v>
      </c>
      <c r="H170" t="s">
        <v>28</v>
      </c>
      <c r="I170" s="2">
        <v>45425</v>
      </c>
      <c r="J170" t="s">
        <v>242</v>
      </c>
      <c r="K170" t="s">
        <v>53</v>
      </c>
      <c r="L170" t="s">
        <v>41</v>
      </c>
    </row>
    <row r="171" spans="1:12" x14ac:dyDescent="0.3">
      <c r="A171">
        <v>1060</v>
      </c>
      <c r="B171" t="s">
        <v>12</v>
      </c>
      <c r="C171">
        <v>19</v>
      </c>
      <c r="D171" t="s">
        <v>24</v>
      </c>
      <c r="E171" t="s">
        <v>167</v>
      </c>
      <c r="F171" t="s">
        <v>827</v>
      </c>
      <c r="G171">
        <v>1</v>
      </c>
      <c r="H171" t="s">
        <v>908</v>
      </c>
      <c r="I171" s="2">
        <v>45307</v>
      </c>
      <c r="J171" t="s">
        <v>507</v>
      </c>
      <c r="K171" t="s">
        <v>60</v>
      </c>
      <c r="L171" t="s">
        <v>54</v>
      </c>
    </row>
    <row r="172" spans="1:12" x14ac:dyDescent="0.3">
      <c r="A172">
        <v>1321</v>
      </c>
      <c r="B172" t="s">
        <v>74</v>
      </c>
      <c r="C172">
        <v>19</v>
      </c>
      <c r="D172" t="s">
        <v>24</v>
      </c>
      <c r="E172" t="s">
        <v>167</v>
      </c>
      <c r="F172" t="s">
        <v>828</v>
      </c>
      <c r="G172">
        <v>4</v>
      </c>
      <c r="H172" t="s">
        <v>17</v>
      </c>
      <c r="I172" s="2">
        <v>45339</v>
      </c>
      <c r="J172" t="s">
        <v>210</v>
      </c>
      <c r="K172" t="s">
        <v>53</v>
      </c>
      <c r="L172" t="s">
        <v>41</v>
      </c>
    </row>
    <row r="173" spans="1:12" x14ac:dyDescent="0.3">
      <c r="A173">
        <v>1372</v>
      </c>
      <c r="B173" t="s">
        <v>163</v>
      </c>
      <c r="C173">
        <v>22</v>
      </c>
      <c r="D173" t="s">
        <v>24</v>
      </c>
      <c r="E173" t="s">
        <v>84</v>
      </c>
      <c r="F173" t="s">
        <v>829</v>
      </c>
      <c r="G173">
        <v>1</v>
      </c>
      <c r="H173" t="s">
        <v>908</v>
      </c>
      <c r="I173" s="2">
        <v>45344</v>
      </c>
      <c r="J173" t="s">
        <v>511</v>
      </c>
      <c r="K173" t="s">
        <v>60</v>
      </c>
      <c r="L173" t="s">
        <v>21</v>
      </c>
    </row>
    <row r="174" spans="1:12" x14ac:dyDescent="0.3">
      <c r="A174">
        <v>1254</v>
      </c>
      <c r="B174" t="s">
        <v>117</v>
      </c>
      <c r="C174">
        <v>22</v>
      </c>
      <c r="D174" t="s">
        <v>55</v>
      </c>
      <c r="E174" t="s">
        <v>167</v>
      </c>
      <c r="F174" t="s">
        <v>830</v>
      </c>
      <c r="G174">
        <v>2</v>
      </c>
      <c r="H174" t="s">
        <v>28</v>
      </c>
      <c r="I174" s="2">
        <v>45345</v>
      </c>
      <c r="J174" t="s">
        <v>513</v>
      </c>
      <c r="K174" t="s">
        <v>96</v>
      </c>
      <c r="L174" t="s">
        <v>41</v>
      </c>
    </row>
    <row r="175" spans="1:12" x14ac:dyDescent="0.3">
      <c r="A175">
        <v>1460</v>
      </c>
      <c r="B175" t="s">
        <v>120</v>
      </c>
      <c r="C175">
        <v>18</v>
      </c>
      <c r="D175" t="s">
        <v>24</v>
      </c>
      <c r="E175" t="s">
        <v>156</v>
      </c>
      <c r="F175" t="s">
        <v>831</v>
      </c>
      <c r="G175">
        <v>4</v>
      </c>
      <c r="H175" t="s">
        <v>17</v>
      </c>
      <c r="I175" s="2">
        <v>45298</v>
      </c>
      <c r="J175" t="s">
        <v>455</v>
      </c>
      <c r="K175" t="s">
        <v>33</v>
      </c>
      <c r="L175" t="s">
        <v>78</v>
      </c>
    </row>
    <row r="176" spans="1:12" x14ac:dyDescent="0.3">
      <c r="A176">
        <v>1323</v>
      </c>
      <c r="B176" t="s">
        <v>47</v>
      </c>
      <c r="C176">
        <v>19</v>
      </c>
      <c r="D176" t="s">
        <v>55</v>
      </c>
      <c r="E176" t="s">
        <v>156</v>
      </c>
      <c r="F176" t="s">
        <v>832</v>
      </c>
      <c r="G176">
        <v>0</v>
      </c>
      <c r="H176" t="s">
        <v>28</v>
      </c>
      <c r="I176" s="2">
        <v>45470</v>
      </c>
      <c r="J176" t="s">
        <v>517</v>
      </c>
      <c r="K176" t="s">
        <v>53</v>
      </c>
      <c r="L176" t="s">
        <v>78</v>
      </c>
    </row>
    <row r="177" spans="1:12" x14ac:dyDescent="0.3">
      <c r="A177">
        <v>1300</v>
      </c>
      <c r="B177" t="s">
        <v>163</v>
      </c>
      <c r="C177">
        <v>22</v>
      </c>
      <c r="D177" t="s">
        <v>659</v>
      </c>
      <c r="E177" t="s">
        <v>25</v>
      </c>
      <c r="F177" t="s">
        <v>833</v>
      </c>
      <c r="G177">
        <v>5</v>
      </c>
      <c r="H177" t="s">
        <v>17</v>
      </c>
      <c r="I177" s="2">
        <v>45360</v>
      </c>
      <c r="J177" t="s">
        <v>519</v>
      </c>
      <c r="K177" t="s">
        <v>53</v>
      </c>
      <c r="L177" t="s">
        <v>116</v>
      </c>
    </row>
    <row r="178" spans="1:12" x14ac:dyDescent="0.3">
      <c r="A178">
        <v>1307</v>
      </c>
      <c r="B178" t="s">
        <v>47</v>
      </c>
      <c r="C178">
        <v>18</v>
      </c>
      <c r="D178" t="s">
        <v>24</v>
      </c>
      <c r="E178" t="s">
        <v>156</v>
      </c>
      <c r="F178" t="s">
        <v>834</v>
      </c>
      <c r="G178">
        <v>1</v>
      </c>
      <c r="H178" t="s">
        <v>17</v>
      </c>
      <c r="I178" s="2">
        <v>45403</v>
      </c>
      <c r="J178" t="s">
        <v>162</v>
      </c>
      <c r="K178" t="s">
        <v>60</v>
      </c>
      <c r="L178" t="s">
        <v>78</v>
      </c>
    </row>
    <row r="179" spans="1:12" x14ac:dyDescent="0.3">
      <c r="A179">
        <v>1135</v>
      </c>
      <c r="B179" t="s">
        <v>120</v>
      </c>
      <c r="C179">
        <v>25</v>
      </c>
      <c r="D179" t="s">
        <v>55</v>
      </c>
      <c r="E179" t="s">
        <v>25</v>
      </c>
      <c r="F179" t="s">
        <v>835</v>
      </c>
      <c r="G179">
        <v>4</v>
      </c>
      <c r="H179" t="s">
        <v>908</v>
      </c>
      <c r="I179" s="2">
        <v>45339</v>
      </c>
      <c r="J179" t="s">
        <v>83</v>
      </c>
      <c r="K179" t="s">
        <v>96</v>
      </c>
      <c r="L179" t="s">
        <v>78</v>
      </c>
    </row>
    <row r="180" spans="1:12" x14ac:dyDescent="0.3">
      <c r="A180">
        <v>1486</v>
      </c>
      <c r="B180" t="s">
        <v>22</v>
      </c>
      <c r="C180">
        <v>0</v>
      </c>
      <c r="D180" t="s">
        <v>24</v>
      </c>
      <c r="E180" t="s">
        <v>84</v>
      </c>
      <c r="F180" t="s">
        <v>836</v>
      </c>
      <c r="G180">
        <v>5</v>
      </c>
      <c r="H180" t="s">
        <v>28</v>
      </c>
      <c r="I180" s="2">
        <v>45429</v>
      </c>
      <c r="J180" t="s">
        <v>523</v>
      </c>
      <c r="K180" t="s">
        <v>33</v>
      </c>
      <c r="L180" t="s">
        <v>61</v>
      </c>
    </row>
    <row r="181" spans="1:12" x14ac:dyDescent="0.3">
      <c r="A181">
        <v>1088</v>
      </c>
      <c r="B181" t="s">
        <v>107</v>
      </c>
      <c r="C181">
        <v>23</v>
      </c>
      <c r="D181" t="s">
        <v>55</v>
      </c>
      <c r="E181" t="s">
        <v>167</v>
      </c>
      <c r="F181" t="s">
        <v>837</v>
      </c>
      <c r="G181">
        <v>4</v>
      </c>
      <c r="H181" t="s">
        <v>17</v>
      </c>
      <c r="I181" s="2">
        <v>45297</v>
      </c>
      <c r="J181" t="s">
        <v>525</v>
      </c>
      <c r="K181" t="s">
        <v>96</v>
      </c>
      <c r="L181" t="s">
        <v>31</v>
      </c>
    </row>
    <row r="182" spans="1:12" x14ac:dyDescent="0.3">
      <c r="A182">
        <v>1454</v>
      </c>
      <c r="B182" t="s">
        <v>163</v>
      </c>
      <c r="C182">
        <v>22</v>
      </c>
      <c r="D182" t="s">
        <v>24</v>
      </c>
      <c r="E182" t="s">
        <v>25</v>
      </c>
      <c r="F182" t="s">
        <v>838</v>
      </c>
      <c r="G182">
        <v>4</v>
      </c>
      <c r="H182" t="s">
        <v>28</v>
      </c>
      <c r="I182" s="2">
        <v>45376</v>
      </c>
      <c r="J182" t="s">
        <v>527</v>
      </c>
      <c r="K182" t="s">
        <v>20</v>
      </c>
      <c r="L182" t="s">
        <v>21</v>
      </c>
    </row>
    <row r="183" spans="1:12" x14ac:dyDescent="0.3">
      <c r="A183">
        <v>1141</v>
      </c>
      <c r="B183" t="s">
        <v>136</v>
      </c>
      <c r="C183">
        <v>25</v>
      </c>
      <c r="D183" t="s">
        <v>55</v>
      </c>
      <c r="E183" t="s">
        <v>25</v>
      </c>
      <c r="F183" t="s">
        <v>839</v>
      </c>
      <c r="G183">
        <v>1</v>
      </c>
      <c r="H183" t="s">
        <v>28</v>
      </c>
      <c r="I183" s="2">
        <v>45311</v>
      </c>
      <c r="J183" t="s">
        <v>274</v>
      </c>
      <c r="K183" t="s">
        <v>20</v>
      </c>
      <c r="L183" t="s">
        <v>41</v>
      </c>
    </row>
    <row r="184" spans="1:12" x14ac:dyDescent="0.3">
      <c r="A184">
        <v>1412</v>
      </c>
      <c r="B184" t="s">
        <v>47</v>
      </c>
      <c r="C184">
        <v>20</v>
      </c>
      <c r="D184" t="s">
        <v>55</v>
      </c>
      <c r="E184" t="s">
        <v>84</v>
      </c>
      <c r="F184" t="s">
        <v>840</v>
      </c>
      <c r="G184">
        <v>0</v>
      </c>
      <c r="H184" t="s">
        <v>908</v>
      </c>
      <c r="I184" s="2">
        <v>45354</v>
      </c>
      <c r="J184" t="s">
        <v>530</v>
      </c>
      <c r="K184" t="s">
        <v>33</v>
      </c>
      <c r="L184" t="s">
        <v>116</v>
      </c>
    </row>
    <row r="185" spans="1:12" x14ac:dyDescent="0.3">
      <c r="A185">
        <v>1364</v>
      </c>
      <c r="B185" t="s">
        <v>155</v>
      </c>
      <c r="C185">
        <v>21</v>
      </c>
      <c r="D185" t="s">
        <v>24</v>
      </c>
      <c r="E185" t="s">
        <v>84</v>
      </c>
      <c r="F185" t="s">
        <v>841</v>
      </c>
      <c r="G185">
        <v>5</v>
      </c>
      <c r="H185" t="s">
        <v>28</v>
      </c>
      <c r="I185" s="2">
        <v>45395</v>
      </c>
      <c r="J185" t="s">
        <v>111</v>
      </c>
      <c r="K185" t="s">
        <v>33</v>
      </c>
      <c r="L185" t="s">
        <v>101</v>
      </c>
    </row>
    <row r="186" spans="1:12" x14ac:dyDescent="0.3">
      <c r="A186">
        <v>1319</v>
      </c>
      <c r="B186" t="s">
        <v>155</v>
      </c>
      <c r="C186">
        <v>23</v>
      </c>
      <c r="D186" t="s">
        <v>55</v>
      </c>
      <c r="E186" t="s">
        <v>156</v>
      </c>
      <c r="F186" t="s">
        <v>842</v>
      </c>
      <c r="G186">
        <v>5</v>
      </c>
      <c r="H186" t="s">
        <v>17</v>
      </c>
      <c r="I186" s="2">
        <v>45333</v>
      </c>
      <c r="J186" t="s">
        <v>533</v>
      </c>
      <c r="K186" t="s">
        <v>33</v>
      </c>
      <c r="L186" t="s">
        <v>54</v>
      </c>
    </row>
    <row r="187" spans="1:12" x14ac:dyDescent="0.3">
      <c r="A187">
        <v>1340</v>
      </c>
      <c r="B187" t="s">
        <v>120</v>
      </c>
      <c r="C187">
        <v>23</v>
      </c>
      <c r="D187" t="s">
        <v>659</v>
      </c>
      <c r="E187" t="s">
        <v>84</v>
      </c>
      <c r="F187" t="s">
        <v>843</v>
      </c>
      <c r="G187">
        <v>1</v>
      </c>
      <c r="H187" t="s">
        <v>28</v>
      </c>
      <c r="I187" s="2">
        <v>45379</v>
      </c>
      <c r="J187" t="s">
        <v>536</v>
      </c>
      <c r="K187" t="s">
        <v>33</v>
      </c>
      <c r="L187" t="s">
        <v>101</v>
      </c>
    </row>
    <row r="188" spans="1:12" x14ac:dyDescent="0.3">
      <c r="A188">
        <v>1420</v>
      </c>
      <c r="B188" t="s">
        <v>155</v>
      </c>
      <c r="C188">
        <v>22</v>
      </c>
      <c r="D188" t="s">
        <v>55</v>
      </c>
      <c r="E188" t="s">
        <v>84</v>
      </c>
      <c r="F188" t="s">
        <v>844</v>
      </c>
      <c r="G188">
        <v>2</v>
      </c>
      <c r="H188" t="s">
        <v>17</v>
      </c>
      <c r="I188" s="2">
        <v>45440</v>
      </c>
      <c r="J188" t="s">
        <v>539</v>
      </c>
      <c r="K188" t="s">
        <v>40</v>
      </c>
      <c r="L188" t="s">
        <v>31</v>
      </c>
    </row>
    <row r="189" spans="1:12" x14ac:dyDescent="0.3">
      <c r="A189">
        <v>1119</v>
      </c>
      <c r="B189" t="s">
        <v>32</v>
      </c>
      <c r="C189">
        <v>20</v>
      </c>
      <c r="D189" t="s">
        <v>659</v>
      </c>
      <c r="E189" t="s">
        <v>25</v>
      </c>
      <c r="F189" t="s">
        <v>845</v>
      </c>
      <c r="G189">
        <v>4</v>
      </c>
      <c r="H189" t="s">
        <v>17</v>
      </c>
      <c r="I189" s="2">
        <v>45367</v>
      </c>
      <c r="J189" t="s">
        <v>542</v>
      </c>
      <c r="K189" t="s">
        <v>20</v>
      </c>
      <c r="L189" t="s">
        <v>31</v>
      </c>
    </row>
    <row r="190" spans="1:12" x14ac:dyDescent="0.3">
      <c r="A190">
        <v>1496</v>
      </c>
      <c r="B190" t="s">
        <v>12</v>
      </c>
      <c r="C190">
        <v>24</v>
      </c>
      <c r="D190" t="s">
        <v>55</v>
      </c>
      <c r="E190" t="s">
        <v>25</v>
      </c>
      <c r="F190" t="s">
        <v>846</v>
      </c>
      <c r="G190">
        <v>2</v>
      </c>
      <c r="H190" t="s">
        <v>908</v>
      </c>
      <c r="I190" s="2">
        <v>45313</v>
      </c>
      <c r="J190" t="s">
        <v>545</v>
      </c>
      <c r="K190" t="s">
        <v>53</v>
      </c>
      <c r="L190" t="s">
        <v>61</v>
      </c>
    </row>
    <row r="191" spans="1:12" x14ac:dyDescent="0.3">
      <c r="A191">
        <v>1480</v>
      </c>
      <c r="B191" t="s">
        <v>120</v>
      </c>
      <c r="C191">
        <v>22</v>
      </c>
      <c r="D191" t="s">
        <v>55</v>
      </c>
      <c r="E191" t="s">
        <v>156</v>
      </c>
      <c r="F191" t="s">
        <v>847</v>
      </c>
      <c r="G191">
        <v>4</v>
      </c>
      <c r="H191" t="s">
        <v>28</v>
      </c>
      <c r="I191" s="2">
        <v>45432</v>
      </c>
      <c r="J191" t="s">
        <v>548</v>
      </c>
      <c r="K191" t="s">
        <v>60</v>
      </c>
      <c r="L191" t="s">
        <v>21</v>
      </c>
    </row>
    <row r="192" spans="1:12" x14ac:dyDescent="0.3">
      <c r="A192">
        <v>1377</v>
      </c>
      <c r="B192" t="s">
        <v>155</v>
      </c>
      <c r="C192">
        <v>25</v>
      </c>
      <c r="D192" t="s">
        <v>55</v>
      </c>
      <c r="E192" t="s">
        <v>25</v>
      </c>
      <c r="F192" t="s">
        <v>848</v>
      </c>
      <c r="G192">
        <v>2</v>
      </c>
      <c r="H192" t="s">
        <v>28</v>
      </c>
      <c r="I192" s="2">
        <v>45404</v>
      </c>
      <c r="J192" t="s">
        <v>551</v>
      </c>
      <c r="K192" t="s">
        <v>40</v>
      </c>
      <c r="L192" t="s">
        <v>31</v>
      </c>
    </row>
    <row r="193" spans="1:12" x14ac:dyDescent="0.3">
      <c r="A193">
        <v>1424</v>
      </c>
      <c r="B193" t="s">
        <v>74</v>
      </c>
      <c r="C193">
        <v>22</v>
      </c>
      <c r="D193" t="s">
        <v>659</v>
      </c>
      <c r="E193" t="s">
        <v>167</v>
      </c>
      <c r="F193" t="s">
        <v>849</v>
      </c>
      <c r="G193">
        <v>5</v>
      </c>
      <c r="H193" t="s">
        <v>908</v>
      </c>
      <c r="I193" s="2">
        <v>45310</v>
      </c>
      <c r="J193" t="s">
        <v>272</v>
      </c>
      <c r="K193" t="s">
        <v>20</v>
      </c>
      <c r="L193" t="s">
        <v>116</v>
      </c>
    </row>
    <row r="194" spans="1:12" x14ac:dyDescent="0.3">
      <c r="A194">
        <v>1472</v>
      </c>
      <c r="B194" t="s">
        <v>22</v>
      </c>
      <c r="C194">
        <v>22</v>
      </c>
      <c r="D194" t="s">
        <v>659</v>
      </c>
      <c r="E194" t="s">
        <v>84</v>
      </c>
      <c r="F194" t="s">
        <v>850</v>
      </c>
      <c r="G194">
        <v>4</v>
      </c>
      <c r="H194" t="s">
        <v>908</v>
      </c>
      <c r="I194" s="2">
        <v>45324</v>
      </c>
      <c r="J194" t="s">
        <v>161</v>
      </c>
      <c r="K194" t="s">
        <v>20</v>
      </c>
      <c r="L194" t="s">
        <v>78</v>
      </c>
    </row>
    <row r="195" spans="1:12" x14ac:dyDescent="0.3">
      <c r="A195">
        <v>1372</v>
      </c>
      <c r="B195" t="s">
        <v>120</v>
      </c>
      <c r="C195">
        <v>0</v>
      </c>
      <c r="D195" t="s">
        <v>24</v>
      </c>
      <c r="E195" t="s">
        <v>25</v>
      </c>
      <c r="F195" t="s">
        <v>851</v>
      </c>
      <c r="G195">
        <v>2</v>
      </c>
      <c r="H195" t="s">
        <v>908</v>
      </c>
      <c r="I195" s="2">
        <v>45343</v>
      </c>
      <c r="J195" t="s">
        <v>556</v>
      </c>
      <c r="K195" t="s">
        <v>40</v>
      </c>
      <c r="L195" t="s">
        <v>78</v>
      </c>
    </row>
    <row r="196" spans="1:12" x14ac:dyDescent="0.3">
      <c r="A196">
        <v>1250</v>
      </c>
      <c r="B196" t="s">
        <v>47</v>
      </c>
      <c r="C196">
        <v>0</v>
      </c>
      <c r="D196" t="s">
        <v>24</v>
      </c>
      <c r="E196" t="s">
        <v>25</v>
      </c>
      <c r="F196" t="s">
        <v>852</v>
      </c>
      <c r="G196">
        <v>3</v>
      </c>
      <c r="H196" t="s">
        <v>17</v>
      </c>
      <c r="I196" s="2">
        <v>45312</v>
      </c>
      <c r="J196" t="s">
        <v>308</v>
      </c>
      <c r="K196" t="s">
        <v>33</v>
      </c>
      <c r="L196" t="s">
        <v>54</v>
      </c>
    </row>
    <row r="197" spans="1:12" x14ac:dyDescent="0.3">
      <c r="A197">
        <v>1447</v>
      </c>
      <c r="B197" t="s">
        <v>22</v>
      </c>
      <c r="C197">
        <v>22</v>
      </c>
      <c r="D197" t="s">
        <v>24</v>
      </c>
      <c r="E197" t="s">
        <v>25</v>
      </c>
      <c r="F197" t="s">
        <v>853</v>
      </c>
      <c r="G197">
        <v>5</v>
      </c>
      <c r="H197" t="s">
        <v>908</v>
      </c>
      <c r="I197" s="2">
        <v>45378</v>
      </c>
      <c r="J197" t="s">
        <v>560</v>
      </c>
      <c r="K197" t="s">
        <v>33</v>
      </c>
      <c r="L197" t="s">
        <v>61</v>
      </c>
    </row>
    <row r="198" spans="1:12" x14ac:dyDescent="0.3">
      <c r="A198">
        <v>1058</v>
      </c>
      <c r="B198" t="s">
        <v>32</v>
      </c>
      <c r="C198">
        <v>24</v>
      </c>
      <c r="D198" t="s">
        <v>24</v>
      </c>
      <c r="E198" t="s">
        <v>25</v>
      </c>
      <c r="F198" t="s">
        <v>854</v>
      </c>
      <c r="G198">
        <v>4</v>
      </c>
      <c r="H198" t="s">
        <v>908</v>
      </c>
      <c r="I198" s="2">
        <v>45318</v>
      </c>
      <c r="J198" t="s">
        <v>562</v>
      </c>
      <c r="K198" t="s">
        <v>20</v>
      </c>
      <c r="L198" t="s">
        <v>101</v>
      </c>
    </row>
    <row r="199" spans="1:12" x14ac:dyDescent="0.3">
      <c r="A199">
        <v>1493</v>
      </c>
      <c r="B199" t="s">
        <v>74</v>
      </c>
      <c r="C199">
        <v>23</v>
      </c>
      <c r="D199" t="s">
        <v>659</v>
      </c>
      <c r="E199" t="s">
        <v>25</v>
      </c>
      <c r="F199" t="s">
        <v>855</v>
      </c>
      <c r="G199">
        <v>5</v>
      </c>
      <c r="H199" t="s">
        <v>908</v>
      </c>
      <c r="I199" s="2">
        <v>45537</v>
      </c>
      <c r="J199" t="s">
        <v>414</v>
      </c>
      <c r="K199" t="s">
        <v>20</v>
      </c>
      <c r="L199" t="s">
        <v>61</v>
      </c>
    </row>
    <row r="200" spans="1:12" x14ac:dyDescent="0.3">
      <c r="A200">
        <v>1077</v>
      </c>
      <c r="B200" t="s">
        <v>120</v>
      </c>
      <c r="C200">
        <v>25</v>
      </c>
      <c r="D200" t="s">
        <v>24</v>
      </c>
      <c r="E200" t="s">
        <v>156</v>
      </c>
      <c r="F200" t="s">
        <v>856</v>
      </c>
      <c r="G200">
        <v>3</v>
      </c>
      <c r="H200" t="s">
        <v>28</v>
      </c>
      <c r="I200" s="2">
        <v>45385</v>
      </c>
      <c r="J200" t="s">
        <v>38</v>
      </c>
      <c r="K200" t="s">
        <v>20</v>
      </c>
      <c r="L200" t="s">
        <v>78</v>
      </c>
    </row>
    <row r="201" spans="1:12" x14ac:dyDescent="0.3">
      <c r="A201">
        <v>1008</v>
      </c>
      <c r="B201" t="s">
        <v>12</v>
      </c>
      <c r="C201">
        <v>21</v>
      </c>
      <c r="D201" t="s">
        <v>24</v>
      </c>
      <c r="E201" t="s">
        <v>156</v>
      </c>
      <c r="F201" t="s">
        <v>857</v>
      </c>
      <c r="G201">
        <v>2</v>
      </c>
      <c r="H201" t="s">
        <v>28</v>
      </c>
      <c r="I201" s="2">
        <v>45398</v>
      </c>
      <c r="J201" t="s">
        <v>213</v>
      </c>
      <c r="K201" t="s">
        <v>40</v>
      </c>
      <c r="L201" t="s">
        <v>116</v>
      </c>
    </row>
    <row r="202" spans="1:12" x14ac:dyDescent="0.3">
      <c r="A202">
        <v>1206</v>
      </c>
      <c r="B202" t="s">
        <v>32</v>
      </c>
      <c r="C202">
        <v>22</v>
      </c>
      <c r="D202" t="s">
        <v>24</v>
      </c>
      <c r="E202" t="s">
        <v>25</v>
      </c>
      <c r="F202" t="s">
        <v>858</v>
      </c>
      <c r="G202">
        <v>5</v>
      </c>
      <c r="H202" t="s">
        <v>908</v>
      </c>
      <c r="I202" s="2">
        <v>45438</v>
      </c>
      <c r="J202" t="s">
        <v>527</v>
      </c>
      <c r="K202" t="s">
        <v>33</v>
      </c>
      <c r="L202" t="s">
        <v>78</v>
      </c>
    </row>
    <row r="203" spans="1:12" x14ac:dyDescent="0.3">
      <c r="A203">
        <v>1390</v>
      </c>
      <c r="B203" t="s">
        <v>107</v>
      </c>
      <c r="C203">
        <v>0</v>
      </c>
      <c r="D203" t="s">
        <v>24</v>
      </c>
      <c r="E203" t="s">
        <v>25</v>
      </c>
      <c r="F203" t="s">
        <v>859</v>
      </c>
      <c r="G203">
        <v>5</v>
      </c>
      <c r="H203" t="s">
        <v>28</v>
      </c>
      <c r="I203" s="2">
        <v>45398</v>
      </c>
      <c r="J203" t="s">
        <v>277</v>
      </c>
      <c r="K203" t="s">
        <v>53</v>
      </c>
      <c r="L203" t="s">
        <v>101</v>
      </c>
    </row>
    <row r="204" spans="1:12" x14ac:dyDescent="0.3">
      <c r="A204">
        <v>1065</v>
      </c>
      <c r="B204" t="s">
        <v>32</v>
      </c>
      <c r="C204">
        <v>19</v>
      </c>
      <c r="D204" t="s">
        <v>659</v>
      </c>
      <c r="E204" t="s">
        <v>167</v>
      </c>
      <c r="F204" t="s">
        <v>860</v>
      </c>
      <c r="G204">
        <v>2</v>
      </c>
      <c r="H204" t="s">
        <v>17</v>
      </c>
      <c r="I204" s="2">
        <v>45387</v>
      </c>
      <c r="J204" t="s">
        <v>288</v>
      </c>
      <c r="K204" t="s">
        <v>40</v>
      </c>
      <c r="L204" t="s">
        <v>78</v>
      </c>
    </row>
    <row r="205" spans="1:12" x14ac:dyDescent="0.3">
      <c r="A205">
        <v>1222</v>
      </c>
      <c r="B205" t="s">
        <v>136</v>
      </c>
      <c r="C205">
        <v>21</v>
      </c>
      <c r="D205" t="s">
        <v>55</v>
      </c>
      <c r="E205" t="s">
        <v>167</v>
      </c>
      <c r="F205" t="s">
        <v>861</v>
      </c>
      <c r="G205">
        <v>4</v>
      </c>
      <c r="H205" t="s">
        <v>28</v>
      </c>
      <c r="I205" s="2">
        <v>45301</v>
      </c>
      <c r="J205" t="s">
        <v>58</v>
      </c>
      <c r="K205" t="s">
        <v>40</v>
      </c>
      <c r="L205" t="s">
        <v>116</v>
      </c>
    </row>
    <row r="206" spans="1:12" x14ac:dyDescent="0.3">
      <c r="A206">
        <v>1198</v>
      </c>
      <c r="B206" t="s">
        <v>117</v>
      </c>
      <c r="C206">
        <v>22</v>
      </c>
      <c r="D206" t="s">
        <v>55</v>
      </c>
      <c r="E206" t="s">
        <v>156</v>
      </c>
      <c r="F206" t="s">
        <v>862</v>
      </c>
      <c r="G206">
        <v>1</v>
      </c>
      <c r="H206" t="s">
        <v>908</v>
      </c>
      <c r="I206" s="2">
        <v>45344</v>
      </c>
      <c r="J206" t="s">
        <v>162</v>
      </c>
      <c r="K206" t="s">
        <v>20</v>
      </c>
      <c r="L206" t="s">
        <v>54</v>
      </c>
    </row>
    <row r="207" spans="1:12" x14ac:dyDescent="0.3">
      <c r="A207">
        <v>1040</v>
      </c>
      <c r="B207" t="s">
        <v>120</v>
      </c>
      <c r="C207">
        <v>21</v>
      </c>
      <c r="D207" t="s">
        <v>55</v>
      </c>
      <c r="E207" t="s">
        <v>84</v>
      </c>
      <c r="F207" t="s">
        <v>863</v>
      </c>
      <c r="G207">
        <v>4</v>
      </c>
      <c r="H207" t="s">
        <v>28</v>
      </c>
      <c r="I207" s="2">
        <v>45404</v>
      </c>
      <c r="J207" t="s">
        <v>578</v>
      </c>
      <c r="K207" t="s">
        <v>53</v>
      </c>
      <c r="L207" t="s">
        <v>116</v>
      </c>
    </row>
    <row r="208" spans="1:12" x14ac:dyDescent="0.3">
      <c r="A208">
        <v>1375</v>
      </c>
      <c r="B208" t="s">
        <v>74</v>
      </c>
      <c r="C208">
        <v>19</v>
      </c>
      <c r="D208" t="s">
        <v>55</v>
      </c>
      <c r="E208" t="s">
        <v>156</v>
      </c>
      <c r="F208" t="s">
        <v>864</v>
      </c>
      <c r="G208">
        <v>0</v>
      </c>
      <c r="H208" t="s">
        <v>17</v>
      </c>
      <c r="I208" s="2">
        <v>45475</v>
      </c>
      <c r="J208" t="s">
        <v>325</v>
      </c>
      <c r="K208" t="s">
        <v>60</v>
      </c>
      <c r="L208" t="s">
        <v>78</v>
      </c>
    </row>
    <row r="209" spans="1:12" x14ac:dyDescent="0.3">
      <c r="A209">
        <v>1458</v>
      </c>
      <c r="B209" t="s">
        <v>22</v>
      </c>
      <c r="C209">
        <v>21</v>
      </c>
      <c r="D209" t="s">
        <v>55</v>
      </c>
      <c r="E209" t="s">
        <v>25</v>
      </c>
      <c r="F209" t="s">
        <v>865</v>
      </c>
      <c r="G209">
        <v>1</v>
      </c>
      <c r="H209" t="s">
        <v>28</v>
      </c>
      <c r="I209" s="2">
        <v>45471</v>
      </c>
      <c r="J209" t="s">
        <v>224</v>
      </c>
      <c r="K209" t="s">
        <v>33</v>
      </c>
      <c r="L209" t="s">
        <v>54</v>
      </c>
    </row>
    <row r="210" spans="1:12" x14ac:dyDescent="0.3">
      <c r="A210">
        <v>1076</v>
      </c>
      <c r="B210" t="s">
        <v>22</v>
      </c>
      <c r="C210">
        <v>23</v>
      </c>
      <c r="D210" t="s">
        <v>55</v>
      </c>
      <c r="E210" t="s">
        <v>25</v>
      </c>
      <c r="F210" t="s">
        <v>866</v>
      </c>
      <c r="G210">
        <v>2</v>
      </c>
      <c r="H210" t="s">
        <v>17</v>
      </c>
      <c r="I210" s="2">
        <v>45352</v>
      </c>
      <c r="J210" t="s">
        <v>451</v>
      </c>
      <c r="K210" t="s">
        <v>33</v>
      </c>
      <c r="L210" t="s">
        <v>41</v>
      </c>
    </row>
    <row r="211" spans="1:12" x14ac:dyDescent="0.3">
      <c r="A211">
        <v>1460</v>
      </c>
      <c r="B211" t="s">
        <v>32</v>
      </c>
      <c r="C211">
        <v>0</v>
      </c>
      <c r="D211" t="s">
        <v>659</v>
      </c>
      <c r="E211" t="s">
        <v>84</v>
      </c>
      <c r="F211" t="s">
        <v>867</v>
      </c>
      <c r="G211">
        <v>1</v>
      </c>
      <c r="H211" t="s">
        <v>908</v>
      </c>
      <c r="I211" s="2">
        <v>45305</v>
      </c>
      <c r="J211" t="s">
        <v>414</v>
      </c>
      <c r="K211" t="s">
        <v>33</v>
      </c>
      <c r="L211" t="s">
        <v>21</v>
      </c>
    </row>
    <row r="212" spans="1:12" x14ac:dyDescent="0.3">
      <c r="A212">
        <v>1153</v>
      </c>
      <c r="B212" t="s">
        <v>163</v>
      </c>
      <c r="C212">
        <v>0</v>
      </c>
      <c r="D212" t="s">
        <v>55</v>
      </c>
      <c r="E212" t="s">
        <v>167</v>
      </c>
      <c r="F212" t="s">
        <v>868</v>
      </c>
      <c r="G212">
        <v>1</v>
      </c>
      <c r="H212" t="s">
        <v>17</v>
      </c>
      <c r="I212" s="2">
        <v>45390</v>
      </c>
      <c r="J212" t="s">
        <v>587</v>
      </c>
      <c r="K212" t="s">
        <v>96</v>
      </c>
      <c r="L212" t="s">
        <v>116</v>
      </c>
    </row>
    <row r="213" spans="1:12" x14ac:dyDescent="0.3">
      <c r="A213">
        <v>1490</v>
      </c>
      <c r="B213" t="s">
        <v>120</v>
      </c>
      <c r="C213">
        <v>24</v>
      </c>
      <c r="D213" t="s">
        <v>55</v>
      </c>
      <c r="E213" t="s">
        <v>84</v>
      </c>
      <c r="F213" t="s">
        <v>869</v>
      </c>
      <c r="G213">
        <v>4</v>
      </c>
      <c r="H213" t="s">
        <v>28</v>
      </c>
      <c r="I213" s="2">
        <v>45438</v>
      </c>
      <c r="J213" t="s">
        <v>589</v>
      </c>
      <c r="K213" t="s">
        <v>60</v>
      </c>
      <c r="L213" t="s">
        <v>116</v>
      </c>
    </row>
    <row r="214" spans="1:12" x14ac:dyDescent="0.3">
      <c r="A214">
        <v>1123</v>
      </c>
      <c r="B214" t="s">
        <v>12</v>
      </c>
      <c r="C214">
        <v>25</v>
      </c>
      <c r="D214" t="s">
        <v>659</v>
      </c>
      <c r="E214" t="s">
        <v>84</v>
      </c>
      <c r="F214" t="s">
        <v>870</v>
      </c>
      <c r="G214">
        <v>0</v>
      </c>
      <c r="H214" t="s">
        <v>908</v>
      </c>
      <c r="I214" s="2">
        <v>45370</v>
      </c>
      <c r="J214" t="s">
        <v>437</v>
      </c>
      <c r="K214" t="s">
        <v>20</v>
      </c>
      <c r="L214" t="s">
        <v>101</v>
      </c>
    </row>
    <row r="215" spans="1:12" x14ac:dyDescent="0.3">
      <c r="A215">
        <v>1497</v>
      </c>
      <c r="B215" t="s">
        <v>163</v>
      </c>
      <c r="C215">
        <v>24</v>
      </c>
      <c r="D215" t="s">
        <v>24</v>
      </c>
      <c r="E215" t="s">
        <v>25</v>
      </c>
      <c r="F215" t="s">
        <v>871</v>
      </c>
      <c r="G215">
        <v>2</v>
      </c>
      <c r="H215" t="s">
        <v>908</v>
      </c>
      <c r="I215" s="2">
        <v>45292</v>
      </c>
      <c r="J215" t="s">
        <v>593</v>
      </c>
      <c r="K215" t="s">
        <v>60</v>
      </c>
      <c r="L215" t="s">
        <v>41</v>
      </c>
    </row>
    <row r="216" spans="1:12" x14ac:dyDescent="0.3">
      <c r="A216">
        <v>1135</v>
      </c>
      <c r="B216" t="s">
        <v>74</v>
      </c>
      <c r="C216">
        <v>23</v>
      </c>
      <c r="D216" t="s">
        <v>55</v>
      </c>
      <c r="E216" t="s">
        <v>25</v>
      </c>
      <c r="F216" t="s">
        <v>872</v>
      </c>
      <c r="G216">
        <v>1</v>
      </c>
      <c r="H216" t="s">
        <v>908</v>
      </c>
      <c r="I216" s="2">
        <v>45476</v>
      </c>
      <c r="J216" t="s">
        <v>595</v>
      </c>
      <c r="K216" t="s">
        <v>53</v>
      </c>
      <c r="L216" t="s">
        <v>101</v>
      </c>
    </row>
    <row r="217" spans="1:12" x14ac:dyDescent="0.3">
      <c r="A217">
        <v>1269</v>
      </c>
      <c r="B217" t="s">
        <v>107</v>
      </c>
      <c r="C217">
        <v>25</v>
      </c>
      <c r="D217" t="s">
        <v>55</v>
      </c>
      <c r="E217" t="s">
        <v>84</v>
      </c>
      <c r="F217" t="s">
        <v>873</v>
      </c>
      <c r="G217">
        <v>4</v>
      </c>
      <c r="H217" t="s">
        <v>28</v>
      </c>
      <c r="I217" s="2">
        <v>45448</v>
      </c>
      <c r="J217" t="s">
        <v>161</v>
      </c>
      <c r="K217" t="s">
        <v>53</v>
      </c>
      <c r="L217" t="s">
        <v>31</v>
      </c>
    </row>
    <row r="218" spans="1:12" x14ac:dyDescent="0.3">
      <c r="A218">
        <v>1428</v>
      </c>
      <c r="B218" t="s">
        <v>47</v>
      </c>
      <c r="C218">
        <v>19</v>
      </c>
      <c r="D218" t="s">
        <v>24</v>
      </c>
      <c r="E218" t="s">
        <v>156</v>
      </c>
      <c r="F218" t="s">
        <v>874</v>
      </c>
      <c r="G218">
        <v>2</v>
      </c>
      <c r="H218" t="s">
        <v>28</v>
      </c>
      <c r="I218" s="2">
        <v>45429</v>
      </c>
      <c r="J218" t="s">
        <v>599</v>
      </c>
      <c r="K218" t="s">
        <v>20</v>
      </c>
      <c r="L218" t="s">
        <v>101</v>
      </c>
    </row>
    <row r="219" spans="1:12" x14ac:dyDescent="0.3">
      <c r="A219">
        <v>1251</v>
      </c>
      <c r="B219" t="s">
        <v>120</v>
      </c>
      <c r="C219">
        <v>19</v>
      </c>
      <c r="D219" t="s">
        <v>24</v>
      </c>
      <c r="E219" t="s">
        <v>84</v>
      </c>
      <c r="F219" t="s">
        <v>875</v>
      </c>
      <c r="G219">
        <v>5</v>
      </c>
      <c r="H219" t="s">
        <v>908</v>
      </c>
      <c r="I219" s="2">
        <v>45346</v>
      </c>
      <c r="J219" t="s">
        <v>602</v>
      </c>
      <c r="K219" t="s">
        <v>53</v>
      </c>
      <c r="L219" t="s">
        <v>101</v>
      </c>
    </row>
    <row r="220" spans="1:12" x14ac:dyDescent="0.3">
      <c r="A220">
        <v>1257</v>
      </c>
      <c r="B220" t="s">
        <v>136</v>
      </c>
      <c r="C220">
        <v>24</v>
      </c>
      <c r="D220" t="s">
        <v>55</v>
      </c>
      <c r="E220" t="s">
        <v>25</v>
      </c>
      <c r="F220" t="s">
        <v>876</v>
      </c>
      <c r="G220">
        <v>4</v>
      </c>
      <c r="H220" t="s">
        <v>17</v>
      </c>
      <c r="I220" s="2">
        <v>45352</v>
      </c>
      <c r="J220" t="s">
        <v>376</v>
      </c>
      <c r="K220" t="s">
        <v>20</v>
      </c>
      <c r="L220" t="s">
        <v>31</v>
      </c>
    </row>
    <row r="221" spans="1:12" x14ac:dyDescent="0.3">
      <c r="A221">
        <v>1247</v>
      </c>
      <c r="B221" t="s">
        <v>22</v>
      </c>
      <c r="C221">
        <v>24</v>
      </c>
      <c r="D221" t="s">
        <v>659</v>
      </c>
      <c r="E221" t="s">
        <v>156</v>
      </c>
      <c r="F221" t="s">
        <v>877</v>
      </c>
      <c r="G221">
        <v>4</v>
      </c>
      <c r="H221" t="s">
        <v>17</v>
      </c>
      <c r="I221" s="2">
        <v>45398</v>
      </c>
      <c r="J221" t="s">
        <v>30</v>
      </c>
      <c r="K221" t="s">
        <v>20</v>
      </c>
      <c r="L221" t="s">
        <v>41</v>
      </c>
    </row>
    <row r="222" spans="1:12" x14ac:dyDescent="0.3">
      <c r="A222">
        <v>1169</v>
      </c>
      <c r="B222" t="s">
        <v>136</v>
      </c>
      <c r="C222">
        <v>22</v>
      </c>
      <c r="D222" t="s">
        <v>24</v>
      </c>
      <c r="E222" t="s">
        <v>167</v>
      </c>
      <c r="F222" t="s">
        <v>878</v>
      </c>
      <c r="G222">
        <v>5</v>
      </c>
      <c r="H222" t="s">
        <v>28</v>
      </c>
      <c r="I222" s="2">
        <v>45437</v>
      </c>
      <c r="J222" t="s">
        <v>216</v>
      </c>
      <c r="K222" t="s">
        <v>40</v>
      </c>
      <c r="L222" t="s">
        <v>61</v>
      </c>
    </row>
    <row r="223" spans="1:12" x14ac:dyDescent="0.3">
      <c r="A223">
        <v>1206</v>
      </c>
      <c r="B223" t="s">
        <v>22</v>
      </c>
      <c r="C223">
        <v>22</v>
      </c>
      <c r="D223" t="s">
        <v>659</v>
      </c>
      <c r="E223" t="s">
        <v>25</v>
      </c>
      <c r="F223" t="s">
        <v>879</v>
      </c>
      <c r="G223">
        <v>1</v>
      </c>
      <c r="H223" t="s">
        <v>28</v>
      </c>
      <c r="I223" s="2">
        <v>45438</v>
      </c>
      <c r="J223" t="s">
        <v>609</v>
      </c>
      <c r="K223" t="s">
        <v>33</v>
      </c>
      <c r="L223" t="s">
        <v>101</v>
      </c>
    </row>
    <row r="224" spans="1:12" x14ac:dyDescent="0.3">
      <c r="A224">
        <v>1440</v>
      </c>
      <c r="B224" t="s">
        <v>47</v>
      </c>
      <c r="C224">
        <v>18</v>
      </c>
      <c r="D224" t="s">
        <v>24</v>
      </c>
      <c r="E224" t="s">
        <v>167</v>
      </c>
      <c r="F224" t="s">
        <v>880</v>
      </c>
      <c r="G224">
        <v>3</v>
      </c>
      <c r="H224" t="s">
        <v>28</v>
      </c>
      <c r="I224" s="2">
        <v>45326</v>
      </c>
      <c r="J224" t="s">
        <v>593</v>
      </c>
      <c r="K224" t="s">
        <v>60</v>
      </c>
      <c r="L224" t="s">
        <v>78</v>
      </c>
    </row>
    <row r="225" spans="1:12" x14ac:dyDescent="0.3">
      <c r="A225">
        <v>1471</v>
      </c>
      <c r="B225" t="s">
        <v>107</v>
      </c>
      <c r="C225">
        <v>0</v>
      </c>
      <c r="D225" t="s">
        <v>55</v>
      </c>
      <c r="E225" t="s">
        <v>84</v>
      </c>
      <c r="F225" t="s">
        <v>881</v>
      </c>
      <c r="G225">
        <v>4</v>
      </c>
      <c r="H225" t="s">
        <v>908</v>
      </c>
      <c r="I225" s="2">
        <v>45457</v>
      </c>
      <c r="J225" t="s">
        <v>613</v>
      </c>
      <c r="K225" t="s">
        <v>40</v>
      </c>
      <c r="L225" t="s">
        <v>116</v>
      </c>
    </row>
    <row r="226" spans="1:12" x14ac:dyDescent="0.3">
      <c r="A226">
        <v>1063</v>
      </c>
      <c r="B226" t="s">
        <v>163</v>
      </c>
      <c r="C226">
        <v>22</v>
      </c>
      <c r="D226" t="s">
        <v>55</v>
      </c>
      <c r="E226" t="s">
        <v>25</v>
      </c>
      <c r="F226" t="s">
        <v>882</v>
      </c>
      <c r="G226">
        <v>4</v>
      </c>
      <c r="H226" t="s">
        <v>28</v>
      </c>
      <c r="I226" s="2">
        <v>45471</v>
      </c>
      <c r="J226" t="s">
        <v>188</v>
      </c>
      <c r="K226" t="s">
        <v>20</v>
      </c>
      <c r="L226" t="s">
        <v>31</v>
      </c>
    </row>
    <row r="227" spans="1:12" x14ac:dyDescent="0.3">
      <c r="A227">
        <v>1481</v>
      </c>
      <c r="B227" t="s">
        <v>22</v>
      </c>
      <c r="C227">
        <v>21</v>
      </c>
      <c r="D227" t="s">
        <v>659</v>
      </c>
      <c r="E227" t="s">
        <v>167</v>
      </c>
      <c r="F227" t="s">
        <v>883</v>
      </c>
      <c r="G227">
        <v>2</v>
      </c>
      <c r="H227" t="s">
        <v>908</v>
      </c>
      <c r="I227" s="2">
        <v>45446</v>
      </c>
      <c r="J227" t="s">
        <v>551</v>
      </c>
      <c r="K227" t="s">
        <v>96</v>
      </c>
      <c r="L227" t="s">
        <v>21</v>
      </c>
    </row>
    <row r="228" spans="1:12" x14ac:dyDescent="0.3">
      <c r="A228">
        <v>1003</v>
      </c>
      <c r="B228" t="s">
        <v>120</v>
      </c>
      <c r="C228">
        <v>19</v>
      </c>
      <c r="D228" t="s">
        <v>24</v>
      </c>
      <c r="E228" t="s">
        <v>156</v>
      </c>
      <c r="F228" t="s">
        <v>884</v>
      </c>
      <c r="G228">
        <v>4</v>
      </c>
      <c r="H228" t="s">
        <v>17</v>
      </c>
      <c r="I228" s="2">
        <v>45366</v>
      </c>
      <c r="J228" t="s">
        <v>609</v>
      </c>
      <c r="K228" t="s">
        <v>96</v>
      </c>
      <c r="L228" t="s">
        <v>54</v>
      </c>
    </row>
    <row r="229" spans="1:12" x14ac:dyDescent="0.3">
      <c r="A229">
        <v>1017</v>
      </c>
      <c r="B229" t="s">
        <v>22</v>
      </c>
      <c r="C229">
        <v>23</v>
      </c>
      <c r="D229" t="s">
        <v>55</v>
      </c>
      <c r="E229" t="s">
        <v>25</v>
      </c>
      <c r="F229" t="s">
        <v>885</v>
      </c>
      <c r="G229">
        <v>0</v>
      </c>
      <c r="H229" t="s">
        <v>76</v>
      </c>
      <c r="I229" s="2">
        <v>45339</v>
      </c>
      <c r="J229" t="s">
        <v>618</v>
      </c>
      <c r="K229" t="s">
        <v>20</v>
      </c>
      <c r="L229" t="s">
        <v>21</v>
      </c>
    </row>
    <row r="230" spans="1:12" x14ac:dyDescent="0.3">
      <c r="A230">
        <v>1088</v>
      </c>
      <c r="B230" t="s">
        <v>163</v>
      </c>
      <c r="C230">
        <v>21</v>
      </c>
      <c r="D230" t="s">
        <v>55</v>
      </c>
      <c r="E230" t="s">
        <v>84</v>
      </c>
      <c r="F230" t="s">
        <v>886</v>
      </c>
      <c r="G230">
        <v>1</v>
      </c>
      <c r="H230" t="s">
        <v>76</v>
      </c>
      <c r="I230" s="2">
        <v>45384</v>
      </c>
      <c r="J230" t="s">
        <v>250</v>
      </c>
      <c r="K230" t="s">
        <v>96</v>
      </c>
      <c r="L230" t="s">
        <v>41</v>
      </c>
    </row>
    <row r="231" spans="1:12" x14ac:dyDescent="0.3">
      <c r="A231">
        <v>1238</v>
      </c>
      <c r="B231" t="s">
        <v>107</v>
      </c>
      <c r="C231">
        <v>21</v>
      </c>
      <c r="D231" t="s">
        <v>55</v>
      </c>
      <c r="E231" t="s">
        <v>25</v>
      </c>
      <c r="F231" t="s">
        <v>887</v>
      </c>
      <c r="G231">
        <v>5</v>
      </c>
      <c r="H231" t="s">
        <v>908</v>
      </c>
      <c r="I231" s="2">
        <v>45329</v>
      </c>
      <c r="J231" t="s">
        <v>622</v>
      </c>
      <c r="K231" t="s">
        <v>60</v>
      </c>
      <c r="L231" t="s">
        <v>41</v>
      </c>
    </row>
    <row r="232" spans="1:12" x14ac:dyDescent="0.3">
      <c r="A232">
        <v>1215</v>
      </c>
      <c r="B232" t="s">
        <v>32</v>
      </c>
      <c r="C232">
        <v>19</v>
      </c>
      <c r="D232" t="s">
        <v>55</v>
      </c>
      <c r="E232" t="s">
        <v>156</v>
      </c>
      <c r="F232" t="s">
        <v>888</v>
      </c>
      <c r="G232">
        <v>4</v>
      </c>
      <c r="H232" t="s">
        <v>17</v>
      </c>
      <c r="I232" s="2">
        <v>45319</v>
      </c>
      <c r="J232" t="s">
        <v>349</v>
      </c>
      <c r="K232" t="s">
        <v>40</v>
      </c>
      <c r="L232" t="s">
        <v>31</v>
      </c>
    </row>
    <row r="233" spans="1:12" x14ac:dyDescent="0.3">
      <c r="A233">
        <v>1197</v>
      </c>
      <c r="B233" t="s">
        <v>22</v>
      </c>
      <c r="C233">
        <v>25</v>
      </c>
      <c r="D233" t="s">
        <v>24</v>
      </c>
      <c r="E233" t="s">
        <v>25</v>
      </c>
      <c r="F233" t="s">
        <v>889</v>
      </c>
      <c r="G233">
        <v>1</v>
      </c>
      <c r="H233" t="s">
        <v>76</v>
      </c>
      <c r="I233" s="2">
        <v>45470</v>
      </c>
      <c r="J233" t="s">
        <v>455</v>
      </c>
      <c r="K233" t="s">
        <v>60</v>
      </c>
      <c r="L233" t="s">
        <v>21</v>
      </c>
    </row>
    <row r="234" spans="1:12" x14ac:dyDescent="0.3">
      <c r="A234">
        <v>1097</v>
      </c>
      <c r="B234" t="s">
        <v>22</v>
      </c>
      <c r="C234">
        <v>18</v>
      </c>
      <c r="D234" t="s">
        <v>55</v>
      </c>
      <c r="E234" t="s">
        <v>84</v>
      </c>
      <c r="F234" t="s">
        <v>890</v>
      </c>
      <c r="G234">
        <v>4</v>
      </c>
      <c r="H234" t="s">
        <v>908</v>
      </c>
      <c r="I234" s="2">
        <v>45462</v>
      </c>
      <c r="J234" t="s">
        <v>431</v>
      </c>
      <c r="K234" t="s">
        <v>53</v>
      </c>
      <c r="L234" t="s">
        <v>78</v>
      </c>
    </row>
    <row r="235" spans="1:12" x14ac:dyDescent="0.3">
      <c r="A235">
        <v>1050</v>
      </c>
      <c r="B235" t="s">
        <v>136</v>
      </c>
      <c r="C235">
        <v>19</v>
      </c>
      <c r="D235" t="s">
        <v>24</v>
      </c>
      <c r="E235" t="s">
        <v>25</v>
      </c>
      <c r="F235" t="s">
        <v>891</v>
      </c>
      <c r="G235">
        <v>5</v>
      </c>
      <c r="H235" t="s">
        <v>908</v>
      </c>
      <c r="I235" s="2">
        <v>45450</v>
      </c>
      <c r="J235" t="s">
        <v>292</v>
      </c>
      <c r="K235" t="s">
        <v>40</v>
      </c>
      <c r="L235" t="s">
        <v>116</v>
      </c>
    </row>
    <row r="236" spans="1:12" x14ac:dyDescent="0.3">
      <c r="A236">
        <v>1357</v>
      </c>
      <c r="B236" t="s">
        <v>117</v>
      </c>
      <c r="C236">
        <v>25</v>
      </c>
      <c r="D236" t="s">
        <v>24</v>
      </c>
      <c r="E236" t="s">
        <v>84</v>
      </c>
      <c r="F236" t="s">
        <v>892</v>
      </c>
      <c r="G236">
        <v>1</v>
      </c>
      <c r="H236" t="s">
        <v>76</v>
      </c>
      <c r="I236" s="2">
        <v>45313</v>
      </c>
      <c r="J236" t="s">
        <v>629</v>
      </c>
      <c r="K236" t="s">
        <v>33</v>
      </c>
      <c r="L236" t="s">
        <v>78</v>
      </c>
    </row>
    <row r="237" spans="1:12" x14ac:dyDescent="0.3">
      <c r="A237">
        <v>1130</v>
      </c>
      <c r="B237" t="s">
        <v>22</v>
      </c>
      <c r="C237">
        <v>20</v>
      </c>
      <c r="D237" t="s">
        <v>659</v>
      </c>
      <c r="E237" t="s">
        <v>156</v>
      </c>
      <c r="F237" t="s">
        <v>893</v>
      </c>
      <c r="G237">
        <v>3</v>
      </c>
      <c r="H237" t="s">
        <v>28</v>
      </c>
      <c r="I237" s="2">
        <v>45340</v>
      </c>
      <c r="J237" t="s">
        <v>631</v>
      </c>
      <c r="K237" t="s">
        <v>40</v>
      </c>
      <c r="L237" t="s">
        <v>21</v>
      </c>
    </row>
    <row r="238" spans="1:12" x14ac:dyDescent="0.3">
      <c r="A238">
        <v>1146</v>
      </c>
      <c r="B238" t="s">
        <v>32</v>
      </c>
      <c r="C238">
        <v>21</v>
      </c>
      <c r="D238" t="s">
        <v>55</v>
      </c>
      <c r="E238" t="s">
        <v>25</v>
      </c>
      <c r="F238" t="s">
        <v>894</v>
      </c>
      <c r="G238">
        <v>2</v>
      </c>
      <c r="H238" t="s">
        <v>28</v>
      </c>
      <c r="I238" s="2">
        <v>45398</v>
      </c>
      <c r="J238" t="s">
        <v>38</v>
      </c>
      <c r="K238" t="s">
        <v>60</v>
      </c>
      <c r="L238" t="s">
        <v>54</v>
      </c>
    </row>
    <row r="239" spans="1:12" x14ac:dyDescent="0.3">
      <c r="A239">
        <v>1302</v>
      </c>
      <c r="B239" t="s">
        <v>74</v>
      </c>
      <c r="C239">
        <v>23</v>
      </c>
      <c r="D239" t="s">
        <v>24</v>
      </c>
      <c r="E239" t="s">
        <v>156</v>
      </c>
      <c r="F239" t="s">
        <v>895</v>
      </c>
      <c r="G239">
        <v>5</v>
      </c>
      <c r="H239" t="s">
        <v>17</v>
      </c>
      <c r="I239" s="2">
        <v>45359</v>
      </c>
      <c r="J239" t="s">
        <v>293</v>
      </c>
      <c r="K239" t="s">
        <v>40</v>
      </c>
      <c r="L239" t="s">
        <v>21</v>
      </c>
    </row>
    <row r="240" spans="1:12" x14ac:dyDescent="0.3">
      <c r="A240">
        <v>1045</v>
      </c>
      <c r="B240" t="s">
        <v>22</v>
      </c>
      <c r="C240">
        <v>0</v>
      </c>
      <c r="D240" t="s">
        <v>55</v>
      </c>
      <c r="E240" t="s">
        <v>156</v>
      </c>
      <c r="F240" t="s">
        <v>896</v>
      </c>
      <c r="G240">
        <v>5</v>
      </c>
      <c r="H240" t="s">
        <v>17</v>
      </c>
      <c r="I240" s="2">
        <v>45332</v>
      </c>
      <c r="J240" t="s">
        <v>636</v>
      </c>
      <c r="K240" t="s">
        <v>33</v>
      </c>
      <c r="L240" t="s">
        <v>116</v>
      </c>
    </row>
    <row r="241" spans="1:12" x14ac:dyDescent="0.3">
      <c r="A241">
        <v>1441</v>
      </c>
      <c r="B241" t="s">
        <v>155</v>
      </c>
      <c r="C241">
        <v>23</v>
      </c>
      <c r="D241" t="s">
        <v>55</v>
      </c>
      <c r="E241" t="s">
        <v>25</v>
      </c>
      <c r="F241" t="s">
        <v>897</v>
      </c>
      <c r="G241">
        <v>3</v>
      </c>
      <c r="H241" t="s">
        <v>28</v>
      </c>
      <c r="I241" s="2">
        <v>45440</v>
      </c>
      <c r="J241" t="s">
        <v>73</v>
      </c>
      <c r="K241" t="s">
        <v>20</v>
      </c>
      <c r="L241" t="s">
        <v>31</v>
      </c>
    </row>
    <row r="242" spans="1:12" x14ac:dyDescent="0.3">
      <c r="A242">
        <v>1419</v>
      </c>
      <c r="B242" t="s">
        <v>120</v>
      </c>
      <c r="C242">
        <v>18</v>
      </c>
      <c r="D242" t="s">
        <v>55</v>
      </c>
      <c r="E242" t="s">
        <v>25</v>
      </c>
      <c r="F242" t="s">
        <v>898</v>
      </c>
      <c r="G242">
        <v>5</v>
      </c>
      <c r="H242" t="s">
        <v>17</v>
      </c>
      <c r="I242" s="2">
        <v>45450</v>
      </c>
      <c r="J242" t="s">
        <v>639</v>
      </c>
      <c r="K242" t="s">
        <v>33</v>
      </c>
      <c r="L242" t="s">
        <v>31</v>
      </c>
    </row>
    <row r="243" spans="1:12" x14ac:dyDescent="0.3">
      <c r="A243">
        <v>1018</v>
      </c>
      <c r="B243" t="s">
        <v>120</v>
      </c>
      <c r="C243">
        <v>20</v>
      </c>
      <c r="D243" t="s">
        <v>24</v>
      </c>
      <c r="E243" t="s">
        <v>156</v>
      </c>
      <c r="F243" t="s">
        <v>899</v>
      </c>
      <c r="G243">
        <v>5</v>
      </c>
      <c r="H243" t="s">
        <v>28</v>
      </c>
      <c r="I243" s="2">
        <v>45415</v>
      </c>
      <c r="J243" t="s">
        <v>184</v>
      </c>
      <c r="K243" t="s">
        <v>60</v>
      </c>
      <c r="L243" t="s">
        <v>116</v>
      </c>
    </row>
    <row r="244" spans="1:12" x14ac:dyDescent="0.3">
      <c r="A244">
        <v>1475</v>
      </c>
      <c r="B244" t="s">
        <v>22</v>
      </c>
      <c r="C244">
        <v>23</v>
      </c>
      <c r="D244" t="s">
        <v>55</v>
      </c>
      <c r="E244" t="s">
        <v>167</v>
      </c>
      <c r="F244" t="s">
        <v>900</v>
      </c>
      <c r="G244">
        <v>4</v>
      </c>
      <c r="H244" t="s">
        <v>908</v>
      </c>
      <c r="I244" s="2">
        <v>45316</v>
      </c>
      <c r="J244" t="s">
        <v>328</v>
      </c>
      <c r="K244" t="s">
        <v>33</v>
      </c>
      <c r="L244" t="s">
        <v>54</v>
      </c>
    </row>
    <row r="245" spans="1:12" x14ac:dyDescent="0.3">
      <c r="A245">
        <v>1174</v>
      </c>
      <c r="B245" t="s">
        <v>22</v>
      </c>
      <c r="C245">
        <v>0</v>
      </c>
      <c r="D245" t="s">
        <v>55</v>
      </c>
      <c r="E245" t="s">
        <v>25</v>
      </c>
      <c r="F245" t="s">
        <v>901</v>
      </c>
      <c r="G245">
        <v>0</v>
      </c>
      <c r="H245" t="s">
        <v>17</v>
      </c>
      <c r="I245" s="2">
        <v>45390</v>
      </c>
      <c r="J245" t="s">
        <v>645</v>
      </c>
      <c r="K245" t="s">
        <v>96</v>
      </c>
      <c r="L245" t="s">
        <v>41</v>
      </c>
    </row>
    <row r="246" spans="1:12" x14ac:dyDescent="0.3">
      <c r="A246">
        <v>1438</v>
      </c>
      <c r="B246" t="s">
        <v>12</v>
      </c>
      <c r="C246">
        <v>19</v>
      </c>
      <c r="D246" t="s">
        <v>659</v>
      </c>
      <c r="E246" t="s">
        <v>84</v>
      </c>
      <c r="F246" t="s">
        <v>902</v>
      </c>
      <c r="G246">
        <v>3</v>
      </c>
      <c r="H246" t="s">
        <v>17</v>
      </c>
      <c r="I246" s="2">
        <v>45465</v>
      </c>
      <c r="J246" t="s">
        <v>648</v>
      </c>
      <c r="K246" t="s">
        <v>60</v>
      </c>
      <c r="L246" t="s">
        <v>54</v>
      </c>
    </row>
    <row r="247" spans="1:12" x14ac:dyDescent="0.3">
      <c r="A247">
        <v>1073</v>
      </c>
      <c r="B247" t="s">
        <v>107</v>
      </c>
      <c r="C247">
        <v>22</v>
      </c>
      <c r="D247" t="s">
        <v>24</v>
      </c>
      <c r="E247" t="s">
        <v>156</v>
      </c>
      <c r="F247" t="s">
        <v>903</v>
      </c>
      <c r="G247">
        <v>2</v>
      </c>
      <c r="H247" t="s">
        <v>17</v>
      </c>
      <c r="I247" s="2">
        <v>45358</v>
      </c>
      <c r="J247" t="s">
        <v>478</v>
      </c>
      <c r="K247" t="s">
        <v>33</v>
      </c>
      <c r="L247" t="s">
        <v>41</v>
      </c>
    </row>
    <row r="248" spans="1:12" x14ac:dyDescent="0.3">
      <c r="A248">
        <v>1465</v>
      </c>
      <c r="B248" t="s">
        <v>47</v>
      </c>
      <c r="C248">
        <v>25</v>
      </c>
      <c r="D248" t="s">
        <v>659</v>
      </c>
      <c r="E248" t="s">
        <v>167</v>
      </c>
      <c r="F248" t="s">
        <v>904</v>
      </c>
      <c r="G248">
        <v>5</v>
      </c>
      <c r="H248" t="s">
        <v>908</v>
      </c>
      <c r="I248" s="2">
        <v>45343</v>
      </c>
      <c r="J248" t="s">
        <v>303</v>
      </c>
      <c r="K248" t="s">
        <v>33</v>
      </c>
      <c r="L248" t="s">
        <v>78</v>
      </c>
    </row>
    <row r="249" spans="1:12" x14ac:dyDescent="0.3">
      <c r="A249">
        <v>1062</v>
      </c>
      <c r="B249" t="s">
        <v>107</v>
      </c>
      <c r="C249">
        <v>22</v>
      </c>
      <c r="D249" t="s">
        <v>659</v>
      </c>
      <c r="E249" t="s">
        <v>156</v>
      </c>
      <c r="F249" t="s">
        <v>905</v>
      </c>
      <c r="G249">
        <v>4</v>
      </c>
      <c r="H249" t="s">
        <v>28</v>
      </c>
      <c r="I249" s="2">
        <v>45388</v>
      </c>
      <c r="J249" t="s">
        <v>250</v>
      </c>
      <c r="K249" t="s">
        <v>96</v>
      </c>
      <c r="L249" t="s">
        <v>21</v>
      </c>
    </row>
    <row r="250" spans="1:12" x14ac:dyDescent="0.3">
      <c r="A250">
        <v>1195</v>
      </c>
      <c r="B250" t="s">
        <v>107</v>
      </c>
      <c r="C250">
        <v>25</v>
      </c>
      <c r="D250" t="s">
        <v>24</v>
      </c>
      <c r="E250" t="s">
        <v>84</v>
      </c>
      <c r="F250" t="s">
        <v>906</v>
      </c>
      <c r="G250">
        <v>3</v>
      </c>
      <c r="H250" t="s">
        <v>908</v>
      </c>
      <c r="I250" s="2">
        <v>45348</v>
      </c>
      <c r="J250" t="s">
        <v>153</v>
      </c>
      <c r="K250" t="s">
        <v>60</v>
      </c>
      <c r="L250" t="s">
        <v>61</v>
      </c>
    </row>
    <row r="251" spans="1:12" x14ac:dyDescent="0.3">
      <c r="A251">
        <v>1139</v>
      </c>
      <c r="B251" t="s">
        <v>155</v>
      </c>
      <c r="C251">
        <v>22</v>
      </c>
      <c r="D251" t="s">
        <v>55</v>
      </c>
      <c r="E251" t="s">
        <v>167</v>
      </c>
      <c r="F251" t="s">
        <v>907</v>
      </c>
      <c r="G251">
        <v>5</v>
      </c>
      <c r="H251" t="s">
        <v>908</v>
      </c>
      <c r="I251" s="2">
        <v>45314</v>
      </c>
      <c r="J251" t="s">
        <v>357</v>
      </c>
      <c r="K251" t="s">
        <v>20</v>
      </c>
      <c r="L251" t="s">
        <v>54</v>
      </c>
    </row>
    <row r="252" spans="1:12" x14ac:dyDescent="0.3">
      <c r="A252">
        <v>1365</v>
      </c>
      <c r="B252" t="s">
        <v>12</v>
      </c>
      <c r="C252">
        <v>20</v>
      </c>
      <c r="D252" t="s">
        <v>55</v>
      </c>
      <c r="E252" t="s">
        <v>167</v>
      </c>
      <c r="F252" t="s">
        <v>657</v>
      </c>
      <c r="G252">
        <v>4</v>
      </c>
      <c r="H252" t="s">
        <v>17</v>
      </c>
      <c r="I252" s="2">
        <v>45379</v>
      </c>
      <c r="J252" t="s">
        <v>19</v>
      </c>
      <c r="K252" t="s">
        <v>20</v>
      </c>
      <c r="L252" t="s">
        <v>21</v>
      </c>
    </row>
    <row r="253" spans="1:12" x14ac:dyDescent="0.3">
      <c r="A253">
        <v>1382</v>
      </c>
      <c r="B253" t="s">
        <v>22</v>
      </c>
      <c r="C253">
        <v>0</v>
      </c>
      <c r="D253" t="s">
        <v>24</v>
      </c>
      <c r="E253" t="s">
        <v>25</v>
      </c>
      <c r="F253" t="s">
        <v>658</v>
      </c>
      <c r="G253">
        <v>5</v>
      </c>
      <c r="H253" t="s">
        <v>28</v>
      </c>
      <c r="I253" s="2">
        <v>45439</v>
      </c>
      <c r="J253" t="s">
        <v>30</v>
      </c>
      <c r="K253" t="s">
        <v>20</v>
      </c>
      <c r="L253" t="s">
        <v>31</v>
      </c>
    </row>
    <row r="254" spans="1:12" x14ac:dyDescent="0.3">
      <c r="A254">
        <v>1322</v>
      </c>
      <c r="B254" t="s">
        <v>32</v>
      </c>
      <c r="C254">
        <v>25</v>
      </c>
      <c r="D254" t="s">
        <v>659</v>
      </c>
      <c r="E254" t="s">
        <v>156</v>
      </c>
      <c r="F254" t="s">
        <v>660</v>
      </c>
      <c r="G254">
        <v>2</v>
      </c>
      <c r="H254" t="s">
        <v>28</v>
      </c>
      <c r="I254" s="2">
        <v>45354</v>
      </c>
      <c r="J254" t="s">
        <v>39</v>
      </c>
      <c r="K254" t="s">
        <v>40</v>
      </c>
      <c r="L254" t="s">
        <v>41</v>
      </c>
    </row>
    <row r="255" spans="1:12" x14ac:dyDescent="0.3">
      <c r="A255">
        <v>1476</v>
      </c>
      <c r="B255" t="s">
        <v>12</v>
      </c>
      <c r="C255">
        <v>21</v>
      </c>
      <c r="D255" t="s">
        <v>55</v>
      </c>
      <c r="E255" t="s">
        <v>25</v>
      </c>
      <c r="F255" t="s">
        <v>661</v>
      </c>
      <c r="G255">
        <v>0</v>
      </c>
      <c r="H255" t="s">
        <v>17</v>
      </c>
      <c r="I255" s="2">
        <v>45426</v>
      </c>
      <c r="J255" t="s">
        <v>46</v>
      </c>
      <c r="K255" t="s">
        <v>33</v>
      </c>
      <c r="L255" t="s">
        <v>41</v>
      </c>
    </row>
    <row r="256" spans="1:12" x14ac:dyDescent="0.3">
      <c r="A256">
        <v>1098</v>
      </c>
      <c r="B256" t="s">
        <v>47</v>
      </c>
      <c r="C256">
        <v>19</v>
      </c>
      <c r="D256" t="s">
        <v>659</v>
      </c>
      <c r="E256" t="s">
        <v>25</v>
      </c>
      <c r="F256" t="s">
        <v>662</v>
      </c>
      <c r="G256">
        <v>1</v>
      </c>
      <c r="H256" t="s">
        <v>17</v>
      </c>
      <c r="I256" s="2">
        <v>45300</v>
      </c>
      <c r="J256" t="s">
        <v>52</v>
      </c>
      <c r="K256" t="s">
        <v>53</v>
      </c>
      <c r="L256" t="s">
        <v>54</v>
      </c>
    </row>
    <row r="257" spans="1:12" x14ac:dyDescent="0.3">
      <c r="A257">
        <v>1230</v>
      </c>
      <c r="B257" t="s">
        <v>12</v>
      </c>
      <c r="C257">
        <v>21</v>
      </c>
      <c r="D257" t="s">
        <v>55</v>
      </c>
      <c r="E257" t="s">
        <v>25</v>
      </c>
      <c r="F257" t="s">
        <v>663</v>
      </c>
      <c r="G257">
        <v>5</v>
      </c>
      <c r="H257" t="s">
        <v>17</v>
      </c>
      <c r="I257" s="2">
        <v>45370</v>
      </c>
      <c r="J257" t="s">
        <v>59</v>
      </c>
      <c r="K257" t="s">
        <v>60</v>
      </c>
      <c r="L257" t="s">
        <v>61</v>
      </c>
    </row>
    <row r="258" spans="1:12" x14ac:dyDescent="0.3">
      <c r="A258">
        <v>1017</v>
      </c>
      <c r="B258" t="s">
        <v>12</v>
      </c>
      <c r="C258">
        <v>22</v>
      </c>
      <c r="D258" t="s">
        <v>24</v>
      </c>
      <c r="E258" t="s">
        <v>84</v>
      </c>
      <c r="F258" t="s">
        <v>664</v>
      </c>
      <c r="G258">
        <v>5</v>
      </c>
      <c r="H258" t="s">
        <v>28</v>
      </c>
      <c r="I258" s="2">
        <v>45317</v>
      </c>
      <c r="J258" t="s">
        <v>68</v>
      </c>
      <c r="K258" t="s">
        <v>53</v>
      </c>
      <c r="L258" t="s">
        <v>21</v>
      </c>
    </row>
    <row r="259" spans="1:12" x14ac:dyDescent="0.3">
      <c r="A259">
        <v>1083</v>
      </c>
      <c r="B259" t="s">
        <v>32</v>
      </c>
      <c r="C259">
        <v>21</v>
      </c>
      <c r="D259" t="s">
        <v>659</v>
      </c>
      <c r="E259" t="s">
        <v>25</v>
      </c>
      <c r="F259" t="s">
        <v>665</v>
      </c>
      <c r="G259">
        <v>3</v>
      </c>
      <c r="H259" t="s">
        <v>28</v>
      </c>
      <c r="I259" s="2">
        <v>45399</v>
      </c>
      <c r="J259" t="s">
        <v>73</v>
      </c>
      <c r="K259" t="s">
        <v>33</v>
      </c>
      <c r="L259" t="s">
        <v>31</v>
      </c>
    </row>
    <row r="260" spans="1:12" x14ac:dyDescent="0.3">
      <c r="A260">
        <v>1106</v>
      </c>
      <c r="B260" t="s">
        <v>74</v>
      </c>
      <c r="C260">
        <v>24</v>
      </c>
      <c r="D260" t="s">
        <v>24</v>
      </c>
      <c r="E260" t="s">
        <v>156</v>
      </c>
      <c r="F260" t="s">
        <v>666</v>
      </c>
      <c r="G260">
        <v>3</v>
      </c>
      <c r="H260" t="s">
        <v>76</v>
      </c>
      <c r="I260" s="2">
        <v>45316</v>
      </c>
      <c r="J260" t="s">
        <v>67</v>
      </c>
      <c r="K260" t="s">
        <v>40</v>
      </c>
      <c r="L260" t="s">
        <v>78</v>
      </c>
    </row>
    <row r="261" spans="1:12" x14ac:dyDescent="0.3">
      <c r="A261">
        <v>1123</v>
      </c>
      <c r="B261" t="s">
        <v>22</v>
      </c>
      <c r="C261">
        <v>20</v>
      </c>
      <c r="D261" t="s">
        <v>55</v>
      </c>
      <c r="E261" t="s">
        <v>84</v>
      </c>
      <c r="F261" t="s">
        <v>667</v>
      </c>
      <c r="G261">
        <v>3</v>
      </c>
      <c r="H261" t="s">
        <v>17</v>
      </c>
      <c r="I261" s="2">
        <v>45444</v>
      </c>
      <c r="J261" t="s">
        <v>83</v>
      </c>
      <c r="K261" t="s">
        <v>53</v>
      </c>
      <c r="L261" t="s">
        <v>41</v>
      </c>
    </row>
    <row r="262" spans="1:12" x14ac:dyDescent="0.3">
      <c r="A262">
        <v>1057</v>
      </c>
      <c r="B262" t="s">
        <v>32</v>
      </c>
      <c r="C262">
        <v>21</v>
      </c>
      <c r="D262" t="s">
        <v>24</v>
      </c>
      <c r="E262" t="s">
        <v>84</v>
      </c>
      <c r="F262" t="s">
        <v>668</v>
      </c>
      <c r="G262">
        <v>1</v>
      </c>
      <c r="H262" t="s">
        <v>76</v>
      </c>
      <c r="I262" s="2">
        <v>45394</v>
      </c>
      <c r="J262" t="s">
        <v>88</v>
      </c>
      <c r="K262" t="s">
        <v>53</v>
      </c>
      <c r="L262" t="s">
        <v>21</v>
      </c>
    </row>
    <row r="263" spans="1:12" x14ac:dyDescent="0.3">
      <c r="A263">
        <v>1214</v>
      </c>
      <c r="B263" t="s">
        <v>22</v>
      </c>
      <c r="C263">
        <v>19</v>
      </c>
      <c r="D263" t="s">
        <v>55</v>
      </c>
      <c r="E263" t="s">
        <v>84</v>
      </c>
      <c r="F263" t="s">
        <v>669</v>
      </c>
      <c r="G263">
        <v>0</v>
      </c>
      <c r="H263" t="s">
        <v>908</v>
      </c>
      <c r="I263" s="2">
        <v>45310</v>
      </c>
      <c r="J263" t="s">
        <v>92</v>
      </c>
      <c r="K263" t="s">
        <v>40</v>
      </c>
      <c r="L263" t="s">
        <v>54</v>
      </c>
    </row>
    <row r="264" spans="1:12" x14ac:dyDescent="0.3">
      <c r="A264">
        <v>1225</v>
      </c>
      <c r="B264" t="s">
        <v>32</v>
      </c>
      <c r="C264">
        <v>22</v>
      </c>
      <c r="D264" t="s">
        <v>55</v>
      </c>
      <c r="E264" t="s">
        <v>25</v>
      </c>
      <c r="F264" t="s">
        <v>670</v>
      </c>
      <c r="G264">
        <v>5</v>
      </c>
      <c r="H264" t="s">
        <v>28</v>
      </c>
      <c r="I264" s="2">
        <v>45317</v>
      </c>
      <c r="J264" t="s">
        <v>95</v>
      </c>
      <c r="K264" t="s">
        <v>96</v>
      </c>
      <c r="L264" t="s">
        <v>21</v>
      </c>
    </row>
    <row r="265" spans="1:12" x14ac:dyDescent="0.3">
      <c r="A265">
        <v>1096</v>
      </c>
      <c r="B265" t="s">
        <v>47</v>
      </c>
      <c r="C265">
        <v>19</v>
      </c>
      <c r="D265" t="s">
        <v>55</v>
      </c>
      <c r="E265" t="s">
        <v>25</v>
      </c>
      <c r="F265" t="s">
        <v>671</v>
      </c>
      <c r="G265">
        <v>5</v>
      </c>
      <c r="H265" t="s">
        <v>908</v>
      </c>
      <c r="I265" s="2">
        <v>45368</v>
      </c>
      <c r="J265" t="s">
        <v>100</v>
      </c>
      <c r="K265" t="s">
        <v>96</v>
      </c>
      <c r="L265" t="s">
        <v>101</v>
      </c>
    </row>
    <row r="266" spans="1:12" x14ac:dyDescent="0.3">
      <c r="A266">
        <v>1113</v>
      </c>
      <c r="B266" t="s">
        <v>47</v>
      </c>
      <c r="C266">
        <v>18</v>
      </c>
      <c r="D266" t="s">
        <v>24</v>
      </c>
      <c r="E266" t="s">
        <v>25</v>
      </c>
      <c r="F266" t="s">
        <v>672</v>
      </c>
      <c r="G266">
        <v>1</v>
      </c>
      <c r="H266" t="s">
        <v>908</v>
      </c>
      <c r="I266" s="2">
        <v>45344</v>
      </c>
      <c r="J266" t="s">
        <v>106</v>
      </c>
      <c r="K266" t="s">
        <v>33</v>
      </c>
      <c r="L266" t="s">
        <v>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E902-7044-4B6A-A72A-C11C8456D746}">
  <dimension ref="A1:L266"/>
  <sheetViews>
    <sheetView workbookViewId="0"/>
  </sheetViews>
  <sheetFormatPr defaultRowHeight="14.4" x14ac:dyDescent="0.3"/>
  <cols>
    <col min="1" max="1" width="16.21875" bestFit="1" customWidth="1"/>
    <col min="2" max="2" width="12.88671875" bestFit="1" customWidth="1"/>
    <col min="3" max="3" width="6.44140625" bestFit="1" customWidth="1"/>
    <col min="4" max="4" width="9.33203125" bestFit="1" customWidth="1"/>
    <col min="5" max="5" width="14" bestFit="1" customWidth="1"/>
    <col min="6" max="6" width="20.33203125" bestFit="1" customWidth="1"/>
    <col min="7" max="7" width="19.5546875" bestFit="1" customWidth="1"/>
    <col min="8" max="8" width="20.88671875" bestFit="1" customWidth="1"/>
    <col min="9" max="9" width="11.44140625" bestFit="1" customWidth="1"/>
    <col min="10" max="10" width="20.33203125" bestFit="1" customWidth="1"/>
    <col min="11" max="11" width="16.5546875" bestFit="1" customWidth="1"/>
    <col min="12" max="12" width="10.441406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656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>
        <v>1365</v>
      </c>
      <c r="B2" t="s">
        <v>12</v>
      </c>
      <c r="C2">
        <v>20</v>
      </c>
      <c r="D2" t="s">
        <v>55</v>
      </c>
      <c r="E2" t="s">
        <v>167</v>
      </c>
      <c r="F2" t="s">
        <v>657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 x14ac:dyDescent="0.3">
      <c r="A3">
        <v>1382</v>
      </c>
      <c r="B3" t="s">
        <v>22</v>
      </c>
      <c r="C3" t="s">
        <v>23</v>
      </c>
      <c r="D3" t="s">
        <v>24</v>
      </c>
      <c r="E3" t="s">
        <v>25</v>
      </c>
      <c r="F3" t="s">
        <v>658</v>
      </c>
      <c r="G3" t="s">
        <v>27</v>
      </c>
      <c r="H3" t="s">
        <v>28</v>
      </c>
      <c r="I3" t="s">
        <v>29</v>
      </c>
      <c r="J3" t="s">
        <v>30</v>
      </c>
      <c r="K3" t="s">
        <v>20</v>
      </c>
      <c r="L3" t="s">
        <v>31</v>
      </c>
    </row>
    <row r="4" spans="1:12" x14ac:dyDescent="0.3">
      <c r="A4">
        <v>1322</v>
      </c>
      <c r="B4" t="s">
        <v>32</v>
      </c>
      <c r="C4">
        <v>25</v>
      </c>
      <c r="D4" t="s">
        <v>659</v>
      </c>
      <c r="E4" t="s">
        <v>156</v>
      </c>
      <c r="F4" t="s">
        <v>660</v>
      </c>
      <c r="G4" t="s">
        <v>36</v>
      </c>
      <c r="H4" t="s">
        <v>37</v>
      </c>
      <c r="I4" t="s">
        <v>38</v>
      </c>
      <c r="J4" t="s">
        <v>39</v>
      </c>
      <c r="K4" t="s">
        <v>40</v>
      </c>
      <c r="L4" t="s">
        <v>41</v>
      </c>
    </row>
    <row r="5" spans="1:12" x14ac:dyDescent="0.3">
      <c r="A5">
        <v>1476</v>
      </c>
      <c r="B5" t="s">
        <v>12</v>
      </c>
      <c r="C5">
        <v>21</v>
      </c>
      <c r="D5" t="s">
        <v>55</v>
      </c>
      <c r="E5" t="s">
        <v>25</v>
      </c>
      <c r="F5" t="s">
        <v>661</v>
      </c>
      <c r="G5" t="s">
        <v>23</v>
      </c>
      <c r="H5" t="s">
        <v>17</v>
      </c>
      <c r="I5" t="s">
        <v>45</v>
      </c>
      <c r="J5" t="s">
        <v>46</v>
      </c>
      <c r="K5" t="s">
        <v>33</v>
      </c>
      <c r="L5" t="s">
        <v>41</v>
      </c>
    </row>
    <row r="6" spans="1:12" x14ac:dyDescent="0.3">
      <c r="A6">
        <v>1098</v>
      </c>
      <c r="B6" t="s">
        <v>47</v>
      </c>
      <c r="C6">
        <v>19</v>
      </c>
      <c r="D6" t="s">
        <v>659</v>
      </c>
      <c r="E6" t="s">
        <v>25</v>
      </c>
      <c r="F6" t="s">
        <v>662</v>
      </c>
      <c r="G6" t="s">
        <v>50</v>
      </c>
      <c r="H6" t="s">
        <v>17</v>
      </c>
      <c r="I6" t="s">
        <v>51</v>
      </c>
      <c r="J6" t="s">
        <v>52</v>
      </c>
      <c r="K6" t="s">
        <v>53</v>
      </c>
      <c r="L6" t="s">
        <v>54</v>
      </c>
    </row>
    <row r="7" spans="1:12" x14ac:dyDescent="0.3">
      <c r="A7">
        <v>1230</v>
      </c>
      <c r="B7" t="s">
        <v>12</v>
      </c>
      <c r="C7">
        <v>21</v>
      </c>
      <c r="D7" t="s">
        <v>55</v>
      </c>
      <c r="E7" t="s">
        <v>25</v>
      </c>
      <c r="F7" t="s">
        <v>663</v>
      </c>
      <c r="G7" t="s">
        <v>66</v>
      </c>
      <c r="H7" t="s">
        <v>17</v>
      </c>
      <c r="I7" t="s">
        <v>58</v>
      </c>
      <c r="J7" t="s">
        <v>59</v>
      </c>
      <c r="K7" t="s">
        <v>60</v>
      </c>
      <c r="L7" t="s">
        <v>61</v>
      </c>
    </row>
    <row r="8" spans="1:12" x14ac:dyDescent="0.3">
      <c r="A8">
        <v>1017</v>
      </c>
      <c r="B8" t="s">
        <v>12</v>
      </c>
      <c r="C8">
        <v>22</v>
      </c>
      <c r="D8" t="s">
        <v>24</v>
      </c>
      <c r="E8" t="s">
        <v>84</v>
      </c>
      <c r="F8" t="s">
        <v>664</v>
      </c>
      <c r="G8" t="s">
        <v>66</v>
      </c>
      <c r="H8" t="s">
        <v>37</v>
      </c>
      <c r="I8" t="s">
        <v>67</v>
      </c>
      <c r="J8" t="s">
        <v>68</v>
      </c>
      <c r="K8" t="s">
        <v>53</v>
      </c>
      <c r="L8" t="s">
        <v>21</v>
      </c>
    </row>
    <row r="9" spans="1:12" x14ac:dyDescent="0.3">
      <c r="A9">
        <v>1083</v>
      </c>
      <c r="B9" t="s">
        <v>32</v>
      </c>
      <c r="C9">
        <v>21</v>
      </c>
      <c r="D9" t="s">
        <v>659</v>
      </c>
      <c r="E9" t="s">
        <v>25</v>
      </c>
      <c r="F9" t="s">
        <v>665</v>
      </c>
      <c r="G9" t="s">
        <v>71</v>
      </c>
      <c r="H9" t="s">
        <v>37</v>
      </c>
      <c r="I9" t="s">
        <v>72</v>
      </c>
      <c r="J9" t="s">
        <v>73</v>
      </c>
      <c r="K9" t="s">
        <v>33</v>
      </c>
      <c r="L9" t="s">
        <v>31</v>
      </c>
    </row>
    <row r="10" spans="1:12" x14ac:dyDescent="0.3">
      <c r="A10">
        <v>1106</v>
      </c>
      <c r="B10" t="s">
        <v>74</v>
      </c>
      <c r="C10">
        <v>24</v>
      </c>
      <c r="D10" t="s">
        <v>24</v>
      </c>
      <c r="E10" t="s">
        <v>156</v>
      </c>
      <c r="F10" t="s">
        <v>666</v>
      </c>
      <c r="G10" t="s">
        <v>71</v>
      </c>
      <c r="H10" t="s">
        <v>76</v>
      </c>
      <c r="I10" t="s">
        <v>77</v>
      </c>
      <c r="J10" t="s">
        <v>67</v>
      </c>
      <c r="K10" t="s">
        <v>40</v>
      </c>
      <c r="L10" t="s">
        <v>78</v>
      </c>
    </row>
    <row r="11" spans="1:12" x14ac:dyDescent="0.3">
      <c r="A11">
        <v>1123</v>
      </c>
      <c r="B11" t="s">
        <v>22</v>
      </c>
      <c r="C11">
        <v>20</v>
      </c>
      <c r="D11" t="s">
        <v>55</v>
      </c>
      <c r="E11" t="s">
        <v>84</v>
      </c>
      <c r="F11" t="s">
        <v>667</v>
      </c>
      <c r="G11" t="s">
        <v>71</v>
      </c>
      <c r="H11" t="s">
        <v>17</v>
      </c>
      <c r="I11" t="s">
        <v>82</v>
      </c>
      <c r="J11" t="s">
        <v>83</v>
      </c>
      <c r="K11" t="s">
        <v>53</v>
      </c>
      <c r="L11" t="s">
        <v>41</v>
      </c>
    </row>
    <row r="12" spans="1:12" x14ac:dyDescent="0.3">
      <c r="A12">
        <v>1057</v>
      </c>
      <c r="B12" t="s">
        <v>32</v>
      </c>
      <c r="C12">
        <v>21</v>
      </c>
      <c r="D12" t="s">
        <v>24</v>
      </c>
      <c r="E12" t="s">
        <v>84</v>
      </c>
      <c r="F12" t="s">
        <v>668</v>
      </c>
      <c r="G12" t="s">
        <v>50</v>
      </c>
      <c r="H12" t="s">
        <v>76</v>
      </c>
      <c r="I12" t="s">
        <v>87</v>
      </c>
      <c r="J12" t="s">
        <v>88</v>
      </c>
      <c r="K12" t="s">
        <v>53</v>
      </c>
      <c r="L12" t="s">
        <v>21</v>
      </c>
    </row>
    <row r="13" spans="1:12" x14ac:dyDescent="0.3">
      <c r="A13">
        <v>1214</v>
      </c>
      <c r="B13" t="s">
        <v>22</v>
      </c>
      <c r="C13">
        <v>19</v>
      </c>
      <c r="D13" t="s">
        <v>55</v>
      </c>
      <c r="E13" t="s">
        <v>84</v>
      </c>
      <c r="F13" t="s">
        <v>669</v>
      </c>
      <c r="G13" t="s">
        <v>23</v>
      </c>
      <c r="H13" t="s">
        <v>90</v>
      </c>
      <c r="I13" t="s">
        <v>91</v>
      </c>
      <c r="J13" t="s">
        <v>92</v>
      </c>
      <c r="K13" t="s">
        <v>40</v>
      </c>
      <c r="L13" t="s">
        <v>54</v>
      </c>
    </row>
    <row r="14" spans="1:12" x14ac:dyDescent="0.3">
      <c r="A14">
        <v>1225</v>
      </c>
      <c r="B14" t="s">
        <v>32</v>
      </c>
      <c r="C14">
        <v>22</v>
      </c>
      <c r="D14" t="s">
        <v>55</v>
      </c>
      <c r="E14" t="s">
        <v>25</v>
      </c>
      <c r="F14" t="s">
        <v>670</v>
      </c>
      <c r="G14" t="s">
        <v>66</v>
      </c>
      <c r="H14" t="s">
        <v>37</v>
      </c>
      <c r="I14" t="s">
        <v>94</v>
      </c>
      <c r="J14" t="s">
        <v>95</v>
      </c>
      <c r="K14" t="s">
        <v>96</v>
      </c>
      <c r="L14" t="s">
        <v>21</v>
      </c>
    </row>
    <row r="15" spans="1:12" x14ac:dyDescent="0.3">
      <c r="A15">
        <v>1096</v>
      </c>
      <c r="B15" t="s">
        <v>47</v>
      </c>
      <c r="C15" t="s">
        <v>97</v>
      </c>
      <c r="D15" t="s">
        <v>55</v>
      </c>
      <c r="E15" t="s">
        <v>25</v>
      </c>
      <c r="F15" t="s">
        <v>671</v>
      </c>
      <c r="G15" t="s">
        <v>66</v>
      </c>
      <c r="H15" t="s">
        <v>90</v>
      </c>
      <c r="I15" t="s">
        <v>99</v>
      </c>
      <c r="J15" t="s">
        <v>100</v>
      </c>
      <c r="K15" t="s">
        <v>96</v>
      </c>
      <c r="L15" t="s">
        <v>101</v>
      </c>
    </row>
    <row r="16" spans="1:12" x14ac:dyDescent="0.3">
      <c r="A16">
        <v>1113</v>
      </c>
      <c r="B16" t="s">
        <v>47</v>
      </c>
      <c r="C16">
        <v>18</v>
      </c>
      <c r="D16" t="s">
        <v>24</v>
      </c>
      <c r="E16" t="s">
        <v>25</v>
      </c>
      <c r="F16" t="s">
        <v>672</v>
      </c>
      <c r="G16" t="s">
        <v>50</v>
      </c>
      <c r="H16" t="s">
        <v>104</v>
      </c>
      <c r="I16" t="s">
        <v>105</v>
      </c>
      <c r="J16" t="s">
        <v>106</v>
      </c>
      <c r="K16" t="s">
        <v>33</v>
      </c>
      <c r="L16" t="s">
        <v>61</v>
      </c>
    </row>
    <row r="17" spans="1:12" x14ac:dyDescent="0.3">
      <c r="A17">
        <v>1126</v>
      </c>
      <c r="B17" t="s">
        <v>107</v>
      </c>
      <c r="C17">
        <v>20</v>
      </c>
      <c r="D17" t="s">
        <v>55</v>
      </c>
      <c r="E17" t="s">
        <v>156</v>
      </c>
      <c r="F17" t="s">
        <v>673</v>
      </c>
      <c r="G17" t="s">
        <v>27</v>
      </c>
      <c r="H17" t="s">
        <v>110</v>
      </c>
      <c r="I17" t="s">
        <v>111</v>
      </c>
      <c r="J17" t="s">
        <v>112</v>
      </c>
      <c r="K17" t="s">
        <v>33</v>
      </c>
      <c r="L17" t="s">
        <v>54</v>
      </c>
    </row>
    <row r="18" spans="1:12" x14ac:dyDescent="0.3">
      <c r="A18">
        <v>1047</v>
      </c>
      <c r="B18" t="s">
        <v>32</v>
      </c>
      <c r="C18">
        <v>21</v>
      </c>
      <c r="D18" t="s">
        <v>24</v>
      </c>
      <c r="E18" t="s">
        <v>84</v>
      </c>
      <c r="F18" t="s">
        <v>674</v>
      </c>
      <c r="G18" t="s">
        <v>66</v>
      </c>
      <c r="H18" t="s">
        <v>17</v>
      </c>
      <c r="I18" t="s">
        <v>114</v>
      </c>
      <c r="J18" t="s">
        <v>115</v>
      </c>
      <c r="K18" t="s">
        <v>40</v>
      </c>
      <c r="L18" t="s">
        <v>116</v>
      </c>
    </row>
    <row r="19" spans="1:12" x14ac:dyDescent="0.3">
      <c r="A19">
        <v>1073</v>
      </c>
      <c r="B19" t="s">
        <v>117</v>
      </c>
      <c r="C19">
        <v>25</v>
      </c>
      <c r="D19" t="s">
        <v>24</v>
      </c>
      <c r="E19" t="s">
        <v>84</v>
      </c>
      <c r="F19" t="s">
        <v>675</v>
      </c>
      <c r="G19" t="s">
        <v>50</v>
      </c>
      <c r="H19" t="s">
        <v>76</v>
      </c>
      <c r="I19" t="s">
        <v>18</v>
      </c>
      <c r="J19" t="s">
        <v>119</v>
      </c>
      <c r="K19" t="s">
        <v>20</v>
      </c>
      <c r="L19" t="s">
        <v>101</v>
      </c>
    </row>
    <row r="20" spans="1:12" x14ac:dyDescent="0.3">
      <c r="A20">
        <v>1032</v>
      </c>
      <c r="B20" t="s">
        <v>120</v>
      </c>
      <c r="C20" t="s">
        <v>23</v>
      </c>
      <c r="D20" t="s">
        <v>659</v>
      </c>
      <c r="E20" t="s">
        <v>25</v>
      </c>
      <c r="F20" t="s">
        <v>676</v>
      </c>
      <c r="G20" t="s">
        <v>66</v>
      </c>
      <c r="H20" t="s">
        <v>110</v>
      </c>
      <c r="I20" t="s">
        <v>123</v>
      </c>
      <c r="J20" t="s">
        <v>124</v>
      </c>
      <c r="K20" t="s">
        <v>53</v>
      </c>
      <c r="L20" t="s">
        <v>31</v>
      </c>
    </row>
    <row r="21" spans="1:12" x14ac:dyDescent="0.3">
      <c r="A21">
        <v>1430</v>
      </c>
      <c r="B21" t="s">
        <v>22</v>
      </c>
      <c r="C21">
        <v>22</v>
      </c>
      <c r="D21" t="s">
        <v>55</v>
      </c>
      <c r="E21" t="s">
        <v>84</v>
      </c>
      <c r="F21" t="s">
        <v>677</v>
      </c>
      <c r="G21" t="s">
        <v>66</v>
      </c>
      <c r="H21" t="s">
        <v>76</v>
      </c>
      <c r="I21" t="s">
        <v>126</v>
      </c>
      <c r="J21" t="s">
        <v>127</v>
      </c>
      <c r="K21" t="s">
        <v>53</v>
      </c>
      <c r="L21" t="s">
        <v>116</v>
      </c>
    </row>
    <row r="22" spans="1:12" x14ac:dyDescent="0.3">
      <c r="A22">
        <v>1224</v>
      </c>
      <c r="B22" t="s">
        <v>74</v>
      </c>
      <c r="C22" t="s">
        <v>128</v>
      </c>
      <c r="D22" t="s">
        <v>55</v>
      </c>
      <c r="E22" t="s">
        <v>25</v>
      </c>
      <c r="F22" t="s">
        <v>678</v>
      </c>
      <c r="G22" t="s">
        <v>50</v>
      </c>
      <c r="H22" t="s">
        <v>130</v>
      </c>
      <c r="I22" t="s">
        <v>131</v>
      </c>
      <c r="J22" t="s">
        <v>132</v>
      </c>
      <c r="K22" t="s">
        <v>96</v>
      </c>
      <c r="L22" t="s">
        <v>54</v>
      </c>
    </row>
    <row r="23" spans="1:12" x14ac:dyDescent="0.3">
      <c r="A23">
        <v>1111</v>
      </c>
      <c r="B23" t="s">
        <v>74</v>
      </c>
      <c r="C23" t="s">
        <v>23</v>
      </c>
      <c r="D23" t="s">
        <v>24</v>
      </c>
      <c r="E23" t="s">
        <v>25</v>
      </c>
      <c r="F23" t="s">
        <v>679</v>
      </c>
      <c r="G23" t="s">
        <v>36</v>
      </c>
      <c r="H23" t="s">
        <v>17</v>
      </c>
      <c r="I23" t="s">
        <v>134</v>
      </c>
      <c r="J23" t="s">
        <v>135</v>
      </c>
      <c r="K23" t="s">
        <v>20</v>
      </c>
      <c r="L23" t="s">
        <v>41</v>
      </c>
    </row>
    <row r="24" spans="1:12" x14ac:dyDescent="0.3">
      <c r="A24">
        <v>1409</v>
      </c>
      <c r="B24" t="s">
        <v>136</v>
      </c>
      <c r="C24">
        <v>20</v>
      </c>
      <c r="D24" t="s">
        <v>24</v>
      </c>
      <c r="E24" t="s">
        <v>84</v>
      </c>
      <c r="F24" t="s">
        <v>680</v>
      </c>
      <c r="G24" t="s">
        <v>71</v>
      </c>
      <c r="H24" t="s">
        <v>104</v>
      </c>
      <c r="I24" t="s">
        <v>138</v>
      </c>
      <c r="J24" t="s">
        <v>139</v>
      </c>
      <c r="K24" t="s">
        <v>20</v>
      </c>
      <c r="L24" t="s">
        <v>61</v>
      </c>
    </row>
    <row r="25" spans="1:12" x14ac:dyDescent="0.3">
      <c r="A25">
        <v>1339</v>
      </c>
      <c r="B25" t="s">
        <v>136</v>
      </c>
      <c r="C25">
        <v>25</v>
      </c>
      <c r="D25" t="s">
        <v>55</v>
      </c>
      <c r="E25" t="s">
        <v>25</v>
      </c>
      <c r="F25" t="s">
        <v>681</v>
      </c>
      <c r="G25" t="s">
        <v>141</v>
      </c>
      <c r="H25" t="s">
        <v>142</v>
      </c>
      <c r="I25" t="s">
        <v>45</v>
      </c>
      <c r="J25" t="s">
        <v>143</v>
      </c>
      <c r="K25" t="s">
        <v>96</v>
      </c>
      <c r="L25" t="s">
        <v>101</v>
      </c>
    </row>
    <row r="26" spans="1:12" x14ac:dyDescent="0.3">
      <c r="A26">
        <v>1334</v>
      </c>
      <c r="B26" t="s">
        <v>107</v>
      </c>
      <c r="C26">
        <v>22</v>
      </c>
      <c r="D26" t="s">
        <v>659</v>
      </c>
      <c r="E26" t="s">
        <v>167</v>
      </c>
      <c r="F26" t="s">
        <v>682</v>
      </c>
      <c r="G26" t="s">
        <v>16</v>
      </c>
      <c r="H26" t="s">
        <v>28</v>
      </c>
      <c r="I26" t="s">
        <v>139</v>
      </c>
      <c r="J26" t="s">
        <v>145</v>
      </c>
      <c r="K26" t="s">
        <v>96</v>
      </c>
      <c r="L26" t="s">
        <v>41</v>
      </c>
    </row>
    <row r="27" spans="1:12" x14ac:dyDescent="0.3">
      <c r="A27">
        <v>1253</v>
      </c>
      <c r="B27" t="s">
        <v>120</v>
      </c>
      <c r="C27">
        <v>25</v>
      </c>
      <c r="D27" t="s">
        <v>24</v>
      </c>
      <c r="E27" t="s">
        <v>156</v>
      </c>
      <c r="F27" t="s">
        <v>683</v>
      </c>
      <c r="G27" t="s">
        <v>36</v>
      </c>
      <c r="H27" t="s">
        <v>142</v>
      </c>
      <c r="I27" t="s">
        <v>147</v>
      </c>
      <c r="J27" t="s">
        <v>148</v>
      </c>
      <c r="K27" t="s">
        <v>53</v>
      </c>
      <c r="L27" t="s">
        <v>21</v>
      </c>
    </row>
    <row r="28" spans="1:12" x14ac:dyDescent="0.3">
      <c r="A28">
        <v>1420</v>
      </c>
      <c r="B28" t="s">
        <v>22</v>
      </c>
      <c r="C28">
        <v>19</v>
      </c>
      <c r="D28" t="s">
        <v>659</v>
      </c>
      <c r="E28" t="s">
        <v>25</v>
      </c>
      <c r="F28" t="s">
        <v>684</v>
      </c>
      <c r="G28" t="s">
        <v>71</v>
      </c>
      <c r="H28" t="s">
        <v>90</v>
      </c>
      <c r="I28" t="s">
        <v>150</v>
      </c>
      <c r="J28" t="s">
        <v>151</v>
      </c>
      <c r="K28" t="s">
        <v>33</v>
      </c>
      <c r="L28" t="s">
        <v>54</v>
      </c>
    </row>
    <row r="29" spans="1:12" x14ac:dyDescent="0.3">
      <c r="A29">
        <v>1096</v>
      </c>
      <c r="B29" t="s">
        <v>22</v>
      </c>
      <c r="C29" t="s">
        <v>23</v>
      </c>
      <c r="D29" t="s">
        <v>24</v>
      </c>
      <c r="E29" t="s">
        <v>25</v>
      </c>
      <c r="F29" t="s">
        <v>685</v>
      </c>
      <c r="G29" t="s">
        <v>27</v>
      </c>
      <c r="H29" t="s">
        <v>104</v>
      </c>
      <c r="I29" t="s">
        <v>153</v>
      </c>
      <c r="J29" t="s">
        <v>154</v>
      </c>
      <c r="K29" t="s">
        <v>33</v>
      </c>
      <c r="L29" t="s">
        <v>54</v>
      </c>
    </row>
    <row r="30" spans="1:12" x14ac:dyDescent="0.3">
      <c r="A30">
        <v>1208</v>
      </c>
      <c r="B30" t="s">
        <v>155</v>
      </c>
      <c r="C30">
        <v>22</v>
      </c>
      <c r="D30" t="s">
        <v>55</v>
      </c>
      <c r="E30" t="s">
        <v>156</v>
      </c>
      <c r="F30" t="s">
        <v>686</v>
      </c>
      <c r="G30" t="s">
        <v>66</v>
      </c>
      <c r="H30" t="s">
        <v>37</v>
      </c>
      <c r="I30" t="s">
        <v>158</v>
      </c>
      <c r="J30" t="s">
        <v>159</v>
      </c>
      <c r="K30" t="s">
        <v>33</v>
      </c>
      <c r="L30" t="s">
        <v>101</v>
      </c>
    </row>
    <row r="31" spans="1:12" x14ac:dyDescent="0.3">
      <c r="A31">
        <v>1068</v>
      </c>
      <c r="B31" t="s">
        <v>107</v>
      </c>
      <c r="D31" t="s">
        <v>24</v>
      </c>
      <c r="E31" t="s">
        <v>25</v>
      </c>
      <c r="F31" t="s">
        <v>687</v>
      </c>
      <c r="G31" t="s">
        <v>71</v>
      </c>
      <c r="H31" t="s">
        <v>142</v>
      </c>
      <c r="I31" t="s">
        <v>161</v>
      </c>
      <c r="J31" t="s">
        <v>162</v>
      </c>
      <c r="K31" t="s">
        <v>33</v>
      </c>
      <c r="L31" t="s">
        <v>31</v>
      </c>
    </row>
    <row r="32" spans="1:12" x14ac:dyDescent="0.3">
      <c r="A32">
        <v>1305</v>
      </c>
      <c r="B32" t="s">
        <v>163</v>
      </c>
      <c r="C32" t="s">
        <v>23</v>
      </c>
      <c r="D32" t="s">
        <v>24</v>
      </c>
      <c r="E32" t="s">
        <v>156</v>
      </c>
      <c r="F32" t="s">
        <v>688</v>
      </c>
      <c r="G32" t="s">
        <v>66</v>
      </c>
      <c r="H32" t="s">
        <v>17</v>
      </c>
      <c r="I32" t="s">
        <v>165</v>
      </c>
      <c r="J32" t="s">
        <v>166</v>
      </c>
      <c r="K32" t="s">
        <v>33</v>
      </c>
      <c r="L32" t="s">
        <v>78</v>
      </c>
    </row>
    <row r="33" spans="1:12" x14ac:dyDescent="0.3">
      <c r="A33">
        <v>1311</v>
      </c>
      <c r="B33" t="s">
        <v>107</v>
      </c>
      <c r="C33" t="s">
        <v>128</v>
      </c>
      <c r="D33" t="s">
        <v>24</v>
      </c>
      <c r="E33" t="s">
        <v>167</v>
      </c>
      <c r="F33" t="s">
        <v>689</v>
      </c>
      <c r="G33" t="s">
        <v>66</v>
      </c>
      <c r="H33" t="s">
        <v>90</v>
      </c>
      <c r="I33" t="s">
        <v>169</v>
      </c>
      <c r="J33" t="s">
        <v>170</v>
      </c>
      <c r="K33" t="s">
        <v>60</v>
      </c>
      <c r="L33" t="s">
        <v>21</v>
      </c>
    </row>
    <row r="34" spans="1:12" x14ac:dyDescent="0.3">
      <c r="A34">
        <v>1451</v>
      </c>
      <c r="B34" t="s">
        <v>22</v>
      </c>
      <c r="C34">
        <v>25</v>
      </c>
      <c r="D34" t="s">
        <v>659</v>
      </c>
      <c r="E34" t="s">
        <v>156</v>
      </c>
      <c r="F34" t="s">
        <v>690</v>
      </c>
      <c r="G34" t="s">
        <v>16</v>
      </c>
      <c r="H34" t="s">
        <v>28</v>
      </c>
      <c r="I34" t="s">
        <v>172</v>
      </c>
      <c r="J34" t="s">
        <v>173</v>
      </c>
      <c r="K34" t="s">
        <v>40</v>
      </c>
      <c r="L34" t="s">
        <v>78</v>
      </c>
    </row>
    <row r="35" spans="1:12" x14ac:dyDescent="0.3">
      <c r="A35">
        <v>1002</v>
      </c>
      <c r="B35" t="s">
        <v>32</v>
      </c>
      <c r="C35">
        <v>22</v>
      </c>
      <c r="D35" t="s">
        <v>659</v>
      </c>
      <c r="E35" t="s">
        <v>25</v>
      </c>
      <c r="F35" t="s">
        <v>691</v>
      </c>
      <c r="G35" t="s">
        <v>16</v>
      </c>
      <c r="H35" t="s">
        <v>76</v>
      </c>
      <c r="I35" t="s">
        <v>175</v>
      </c>
      <c r="J35" t="s">
        <v>176</v>
      </c>
      <c r="K35" t="s">
        <v>33</v>
      </c>
      <c r="L35" t="s">
        <v>78</v>
      </c>
    </row>
    <row r="36" spans="1:12" x14ac:dyDescent="0.3">
      <c r="A36">
        <v>1340</v>
      </c>
      <c r="B36" t="s">
        <v>155</v>
      </c>
      <c r="C36">
        <v>25</v>
      </c>
      <c r="D36" t="s">
        <v>55</v>
      </c>
      <c r="E36" t="s">
        <v>167</v>
      </c>
      <c r="F36" t="s">
        <v>692</v>
      </c>
      <c r="G36" t="s">
        <v>50</v>
      </c>
      <c r="H36" t="s">
        <v>110</v>
      </c>
      <c r="I36" t="s">
        <v>178</v>
      </c>
      <c r="J36" t="s">
        <v>179</v>
      </c>
      <c r="K36" t="s">
        <v>53</v>
      </c>
      <c r="L36" t="s">
        <v>116</v>
      </c>
    </row>
    <row r="37" spans="1:12" x14ac:dyDescent="0.3">
      <c r="A37">
        <v>1039</v>
      </c>
      <c r="B37" t="s">
        <v>12</v>
      </c>
      <c r="C37" t="s">
        <v>97</v>
      </c>
      <c r="D37" t="s">
        <v>659</v>
      </c>
      <c r="E37" t="s">
        <v>25</v>
      </c>
      <c r="F37" t="s">
        <v>693</v>
      </c>
      <c r="G37" t="s">
        <v>141</v>
      </c>
      <c r="H37" t="s">
        <v>90</v>
      </c>
      <c r="I37" t="s">
        <v>181</v>
      </c>
      <c r="J37" t="s">
        <v>182</v>
      </c>
      <c r="K37" t="s">
        <v>33</v>
      </c>
      <c r="L37" t="s">
        <v>78</v>
      </c>
    </row>
    <row r="38" spans="1:12" x14ac:dyDescent="0.3">
      <c r="A38">
        <v>1322</v>
      </c>
      <c r="B38" t="s">
        <v>136</v>
      </c>
      <c r="C38" t="s">
        <v>23</v>
      </c>
      <c r="D38" t="s">
        <v>24</v>
      </c>
      <c r="E38" t="s">
        <v>84</v>
      </c>
      <c r="F38" t="s">
        <v>694</v>
      </c>
      <c r="G38" t="s">
        <v>141</v>
      </c>
      <c r="H38" t="s">
        <v>142</v>
      </c>
      <c r="I38" t="s">
        <v>184</v>
      </c>
      <c r="J38" t="s">
        <v>185</v>
      </c>
      <c r="K38" t="s">
        <v>53</v>
      </c>
      <c r="L38" t="s">
        <v>54</v>
      </c>
    </row>
    <row r="39" spans="1:12" x14ac:dyDescent="0.3">
      <c r="A39">
        <v>1084</v>
      </c>
      <c r="B39" t="s">
        <v>47</v>
      </c>
      <c r="C39">
        <v>18</v>
      </c>
      <c r="D39" t="s">
        <v>55</v>
      </c>
      <c r="E39" t="s">
        <v>25</v>
      </c>
      <c r="F39" t="s">
        <v>695</v>
      </c>
      <c r="G39" t="s">
        <v>141</v>
      </c>
      <c r="H39" t="s">
        <v>104</v>
      </c>
      <c r="I39" t="s">
        <v>187</v>
      </c>
      <c r="J39" t="s">
        <v>188</v>
      </c>
      <c r="K39" t="s">
        <v>53</v>
      </c>
      <c r="L39" t="s">
        <v>31</v>
      </c>
    </row>
    <row r="40" spans="1:12" x14ac:dyDescent="0.3">
      <c r="A40">
        <v>1047</v>
      </c>
      <c r="B40" t="s">
        <v>120</v>
      </c>
      <c r="C40">
        <v>20</v>
      </c>
      <c r="D40" t="s">
        <v>55</v>
      </c>
      <c r="E40" t="s">
        <v>25</v>
      </c>
      <c r="F40" t="s">
        <v>696</v>
      </c>
      <c r="G40" t="s">
        <v>141</v>
      </c>
      <c r="H40" t="s">
        <v>76</v>
      </c>
      <c r="I40" t="s">
        <v>190</v>
      </c>
      <c r="J40" t="s">
        <v>191</v>
      </c>
      <c r="K40" t="s">
        <v>60</v>
      </c>
      <c r="L40" t="s">
        <v>101</v>
      </c>
    </row>
    <row r="41" spans="1:12" x14ac:dyDescent="0.3">
      <c r="A41">
        <v>1445</v>
      </c>
      <c r="B41" t="s">
        <v>47</v>
      </c>
      <c r="C41">
        <v>25</v>
      </c>
      <c r="D41" t="s">
        <v>659</v>
      </c>
      <c r="E41" t="s">
        <v>84</v>
      </c>
      <c r="F41" t="s">
        <v>697</v>
      </c>
      <c r="G41" t="s">
        <v>16</v>
      </c>
      <c r="H41" t="s">
        <v>76</v>
      </c>
      <c r="I41" t="s">
        <v>193</v>
      </c>
      <c r="J41" t="s">
        <v>194</v>
      </c>
      <c r="K41" t="s">
        <v>40</v>
      </c>
      <c r="L41" t="s">
        <v>31</v>
      </c>
    </row>
    <row r="42" spans="1:12" x14ac:dyDescent="0.3">
      <c r="A42">
        <v>1176</v>
      </c>
      <c r="B42" t="s">
        <v>74</v>
      </c>
      <c r="C42">
        <v>22</v>
      </c>
      <c r="D42" t="s">
        <v>24</v>
      </c>
      <c r="E42" t="s">
        <v>25</v>
      </c>
      <c r="F42" t="s">
        <v>698</v>
      </c>
      <c r="G42" t="s">
        <v>141</v>
      </c>
      <c r="H42" t="s">
        <v>90</v>
      </c>
      <c r="I42" t="s">
        <v>59</v>
      </c>
      <c r="J42" t="s">
        <v>196</v>
      </c>
      <c r="K42" t="s">
        <v>33</v>
      </c>
      <c r="L42" t="s">
        <v>41</v>
      </c>
    </row>
    <row r="43" spans="1:12" x14ac:dyDescent="0.3">
      <c r="A43">
        <v>1135</v>
      </c>
      <c r="B43" t="s">
        <v>32</v>
      </c>
      <c r="C43">
        <v>21</v>
      </c>
      <c r="D43" t="s">
        <v>55</v>
      </c>
      <c r="E43" t="s">
        <v>84</v>
      </c>
      <c r="F43" t="s">
        <v>699</v>
      </c>
      <c r="G43" t="s">
        <v>50</v>
      </c>
      <c r="H43" t="s">
        <v>28</v>
      </c>
      <c r="I43" t="s">
        <v>198</v>
      </c>
      <c r="J43" t="s">
        <v>199</v>
      </c>
      <c r="K43" t="s">
        <v>33</v>
      </c>
      <c r="L43" t="s">
        <v>78</v>
      </c>
    </row>
    <row r="44" spans="1:12" x14ac:dyDescent="0.3">
      <c r="A44">
        <v>1361</v>
      </c>
      <c r="B44" t="s">
        <v>74</v>
      </c>
      <c r="C44">
        <v>25</v>
      </c>
      <c r="D44" t="s">
        <v>55</v>
      </c>
      <c r="E44" t="s">
        <v>25</v>
      </c>
      <c r="F44" t="s">
        <v>700</v>
      </c>
      <c r="G44" t="s">
        <v>66</v>
      </c>
      <c r="H44" t="s">
        <v>130</v>
      </c>
      <c r="I44" t="s">
        <v>201</v>
      </c>
      <c r="J44" t="s">
        <v>202</v>
      </c>
      <c r="K44" t="s">
        <v>53</v>
      </c>
      <c r="L44" t="s">
        <v>116</v>
      </c>
    </row>
    <row r="45" spans="1:12" x14ac:dyDescent="0.3">
      <c r="A45">
        <v>1099</v>
      </c>
      <c r="B45" t="s">
        <v>155</v>
      </c>
      <c r="C45">
        <v>21</v>
      </c>
      <c r="D45" t="s">
        <v>24</v>
      </c>
      <c r="E45" t="s">
        <v>156</v>
      </c>
      <c r="F45" t="s">
        <v>701</v>
      </c>
      <c r="G45" t="s">
        <v>50</v>
      </c>
      <c r="H45" t="s">
        <v>37</v>
      </c>
      <c r="I45" t="s">
        <v>204</v>
      </c>
      <c r="J45" t="s">
        <v>205</v>
      </c>
      <c r="K45" t="s">
        <v>33</v>
      </c>
      <c r="L45" t="s">
        <v>78</v>
      </c>
    </row>
    <row r="46" spans="1:12" x14ac:dyDescent="0.3">
      <c r="A46">
        <v>1380</v>
      </c>
      <c r="B46" t="s">
        <v>107</v>
      </c>
      <c r="C46">
        <v>25</v>
      </c>
      <c r="D46" t="s">
        <v>55</v>
      </c>
      <c r="E46" t="s">
        <v>156</v>
      </c>
      <c r="F46" t="s">
        <v>702</v>
      </c>
      <c r="G46" t="s">
        <v>66</v>
      </c>
      <c r="H46" t="s">
        <v>76</v>
      </c>
      <c r="I46" t="s">
        <v>207</v>
      </c>
      <c r="J46" t="s">
        <v>208</v>
      </c>
      <c r="K46" t="s">
        <v>53</v>
      </c>
      <c r="L46" t="s">
        <v>41</v>
      </c>
    </row>
    <row r="47" spans="1:12" x14ac:dyDescent="0.3">
      <c r="A47">
        <v>1348</v>
      </c>
      <c r="B47" t="s">
        <v>163</v>
      </c>
      <c r="C47">
        <v>18</v>
      </c>
      <c r="D47" t="s">
        <v>24</v>
      </c>
      <c r="E47" t="s">
        <v>25</v>
      </c>
      <c r="F47" t="s">
        <v>703</v>
      </c>
      <c r="G47" t="s">
        <v>141</v>
      </c>
      <c r="H47" t="s">
        <v>142</v>
      </c>
      <c r="I47" t="s">
        <v>210</v>
      </c>
      <c r="J47" t="s">
        <v>211</v>
      </c>
      <c r="K47" t="s">
        <v>96</v>
      </c>
      <c r="L47" t="s">
        <v>61</v>
      </c>
    </row>
    <row r="48" spans="1:12" x14ac:dyDescent="0.3">
      <c r="A48">
        <v>1180</v>
      </c>
      <c r="B48" t="s">
        <v>74</v>
      </c>
      <c r="C48">
        <v>25</v>
      </c>
      <c r="D48" t="s">
        <v>24</v>
      </c>
      <c r="E48" t="s">
        <v>167</v>
      </c>
      <c r="F48" t="s">
        <v>704</v>
      </c>
      <c r="G48" t="s">
        <v>27</v>
      </c>
      <c r="H48" t="s">
        <v>90</v>
      </c>
      <c r="I48" t="s">
        <v>213</v>
      </c>
      <c r="J48" t="s">
        <v>214</v>
      </c>
      <c r="K48" t="s">
        <v>96</v>
      </c>
      <c r="L48" t="s">
        <v>61</v>
      </c>
    </row>
    <row r="49" spans="1:12" x14ac:dyDescent="0.3">
      <c r="A49">
        <v>1358</v>
      </c>
      <c r="B49" t="s">
        <v>107</v>
      </c>
      <c r="C49">
        <v>24</v>
      </c>
      <c r="D49" t="s">
        <v>24</v>
      </c>
      <c r="E49" t="s">
        <v>84</v>
      </c>
      <c r="F49" t="s">
        <v>705</v>
      </c>
      <c r="G49" t="s">
        <v>50</v>
      </c>
      <c r="H49" t="s">
        <v>17</v>
      </c>
      <c r="I49" t="s">
        <v>94</v>
      </c>
      <c r="J49" t="s">
        <v>216</v>
      </c>
      <c r="K49" t="s">
        <v>53</v>
      </c>
      <c r="L49" t="s">
        <v>101</v>
      </c>
    </row>
    <row r="50" spans="1:12" x14ac:dyDescent="0.3">
      <c r="A50">
        <v>1353</v>
      </c>
      <c r="B50" t="s">
        <v>22</v>
      </c>
      <c r="C50" t="s">
        <v>97</v>
      </c>
      <c r="D50" t="s">
        <v>24</v>
      </c>
      <c r="E50" t="s">
        <v>84</v>
      </c>
      <c r="F50" t="s">
        <v>706</v>
      </c>
      <c r="G50" t="s">
        <v>71</v>
      </c>
      <c r="H50" t="s">
        <v>218</v>
      </c>
      <c r="I50" t="s">
        <v>216</v>
      </c>
      <c r="J50" t="s">
        <v>219</v>
      </c>
      <c r="K50" t="s">
        <v>53</v>
      </c>
      <c r="L50" t="s">
        <v>61</v>
      </c>
    </row>
    <row r="51" spans="1:12" x14ac:dyDescent="0.3">
      <c r="A51">
        <v>1213</v>
      </c>
      <c r="B51" t="s">
        <v>163</v>
      </c>
      <c r="C51">
        <v>24</v>
      </c>
      <c r="D51" t="s">
        <v>24</v>
      </c>
      <c r="E51" t="s">
        <v>84</v>
      </c>
      <c r="F51" t="s">
        <v>707</v>
      </c>
      <c r="G51" t="s">
        <v>23</v>
      </c>
      <c r="H51" t="s">
        <v>37</v>
      </c>
      <c r="I51" t="s">
        <v>221</v>
      </c>
      <c r="J51" t="s">
        <v>222</v>
      </c>
      <c r="K51" t="s">
        <v>20</v>
      </c>
      <c r="L51" t="s">
        <v>78</v>
      </c>
    </row>
    <row r="52" spans="1:12" x14ac:dyDescent="0.3">
      <c r="A52">
        <v>1118</v>
      </c>
      <c r="B52" t="s">
        <v>12</v>
      </c>
      <c r="C52" t="s">
        <v>23</v>
      </c>
      <c r="D52" t="s">
        <v>24</v>
      </c>
      <c r="E52" t="s">
        <v>25</v>
      </c>
      <c r="F52" t="s">
        <v>708</v>
      </c>
      <c r="G52" t="s">
        <v>66</v>
      </c>
      <c r="H52" t="s">
        <v>130</v>
      </c>
      <c r="I52" t="s">
        <v>224</v>
      </c>
      <c r="J52" t="s">
        <v>225</v>
      </c>
      <c r="K52" t="s">
        <v>96</v>
      </c>
      <c r="L52" t="s">
        <v>31</v>
      </c>
    </row>
    <row r="53" spans="1:12" x14ac:dyDescent="0.3">
      <c r="A53">
        <v>1350</v>
      </c>
      <c r="B53" t="s">
        <v>155</v>
      </c>
      <c r="C53" t="s">
        <v>97</v>
      </c>
      <c r="D53" t="s">
        <v>55</v>
      </c>
      <c r="E53" t="s">
        <v>25</v>
      </c>
      <c r="F53" t="s">
        <v>709</v>
      </c>
      <c r="G53" t="s">
        <v>71</v>
      </c>
      <c r="H53" t="s">
        <v>218</v>
      </c>
      <c r="I53" t="s">
        <v>227</v>
      </c>
      <c r="J53" t="s">
        <v>228</v>
      </c>
      <c r="K53" t="s">
        <v>20</v>
      </c>
      <c r="L53" t="s">
        <v>21</v>
      </c>
    </row>
    <row r="54" spans="1:12" x14ac:dyDescent="0.3">
      <c r="A54">
        <v>1411</v>
      </c>
      <c r="B54" t="s">
        <v>12</v>
      </c>
      <c r="C54">
        <v>18</v>
      </c>
      <c r="D54" t="s">
        <v>55</v>
      </c>
      <c r="E54" t="s">
        <v>84</v>
      </c>
      <c r="F54" t="s">
        <v>710</v>
      </c>
      <c r="G54" t="s">
        <v>50</v>
      </c>
      <c r="H54" t="s">
        <v>90</v>
      </c>
      <c r="I54" t="s">
        <v>230</v>
      </c>
      <c r="J54" t="s">
        <v>231</v>
      </c>
      <c r="K54" t="s">
        <v>40</v>
      </c>
      <c r="L54" t="s">
        <v>41</v>
      </c>
    </row>
    <row r="55" spans="1:12" x14ac:dyDescent="0.3">
      <c r="A55">
        <v>1290</v>
      </c>
      <c r="B55" t="s">
        <v>22</v>
      </c>
      <c r="D55" t="s">
        <v>55</v>
      </c>
      <c r="E55" t="s">
        <v>25</v>
      </c>
      <c r="F55" t="s">
        <v>711</v>
      </c>
      <c r="G55" t="s">
        <v>23</v>
      </c>
      <c r="H55" t="s">
        <v>110</v>
      </c>
      <c r="I55" t="s">
        <v>233</v>
      </c>
      <c r="J55" t="s">
        <v>234</v>
      </c>
      <c r="K55" t="s">
        <v>60</v>
      </c>
      <c r="L55" t="s">
        <v>78</v>
      </c>
    </row>
    <row r="56" spans="1:12" x14ac:dyDescent="0.3">
      <c r="A56">
        <v>1481</v>
      </c>
      <c r="B56" t="s">
        <v>107</v>
      </c>
      <c r="C56">
        <v>23</v>
      </c>
      <c r="D56" t="s">
        <v>55</v>
      </c>
      <c r="E56" t="s">
        <v>156</v>
      </c>
      <c r="F56" t="s">
        <v>712</v>
      </c>
      <c r="G56" t="s">
        <v>16</v>
      </c>
      <c r="H56" t="s">
        <v>17</v>
      </c>
      <c r="I56" t="s">
        <v>236</v>
      </c>
      <c r="J56" t="s">
        <v>237</v>
      </c>
      <c r="K56" t="s">
        <v>20</v>
      </c>
      <c r="L56" t="s">
        <v>61</v>
      </c>
    </row>
    <row r="57" spans="1:12" x14ac:dyDescent="0.3">
      <c r="A57">
        <v>1076</v>
      </c>
      <c r="B57" t="s">
        <v>120</v>
      </c>
      <c r="C57">
        <v>21</v>
      </c>
      <c r="D57" t="s">
        <v>659</v>
      </c>
      <c r="E57" t="s">
        <v>84</v>
      </c>
      <c r="F57" t="s">
        <v>713</v>
      </c>
      <c r="G57" t="s">
        <v>36</v>
      </c>
      <c r="H57" t="s">
        <v>90</v>
      </c>
      <c r="I57" t="s">
        <v>239</v>
      </c>
      <c r="J57" t="s">
        <v>240</v>
      </c>
      <c r="K57" t="s">
        <v>40</v>
      </c>
      <c r="L57" t="s">
        <v>61</v>
      </c>
    </row>
    <row r="58" spans="1:12" x14ac:dyDescent="0.3">
      <c r="A58">
        <v>1168</v>
      </c>
      <c r="B58" t="s">
        <v>22</v>
      </c>
      <c r="C58">
        <v>20</v>
      </c>
      <c r="D58" t="s">
        <v>659</v>
      </c>
      <c r="E58" t="s">
        <v>156</v>
      </c>
      <c r="F58" t="s">
        <v>714</v>
      </c>
      <c r="G58" t="s">
        <v>23</v>
      </c>
      <c r="H58" t="s">
        <v>130</v>
      </c>
      <c r="I58" t="s">
        <v>201</v>
      </c>
      <c r="J58" t="s">
        <v>242</v>
      </c>
      <c r="K58" t="s">
        <v>20</v>
      </c>
      <c r="L58" t="s">
        <v>31</v>
      </c>
    </row>
    <row r="59" spans="1:12" x14ac:dyDescent="0.3">
      <c r="A59">
        <v>1387</v>
      </c>
      <c r="B59" t="s">
        <v>47</v>
      </c>
      <c r="C59">
        <v>22</v>
      </c>
      <c r="D59" t="s">
        <v>55</v>
      </c>
      <c r="E59" t="s">
        <v>156</v>
      </c>
      <c r="F59" t="s">
        <v>715</v>
      </c>
      <c r="G59" t="s">
        <v>36</v>
      </c>
      <c r="H59" t="s">
        <v>37</v>
      </c>
      <c r="I59" t="s">
        <v>244</v>
      </c>
      <c r="J59" t="s">
        <v>245</v>
      </c>
      <c r="K59" t="s">
        <v>40</v>
      </c>
      <c r="L59" t="s">
        <v>61</v>
      </c>
    </row>
    <row r="60" spans="1:12" x14ac:dyDescent="0.3">
      <c r="A60">
        <v>1106</v>
      </c>
      <c r="B60" t="s">
        <v>47</v>
      </c>
      <c r="C60">
        <v>21</v>
      </c>
      <c r="D60" t="s">
        <v>24</v>
      </c>
      <c r="E60" t="s">
        <v>84</v>
      </c>
      <c r="F60" t="s">
        <v>716</v>
      </c>
      <c r="G60" t="s">
        <v>66</v>
      </c>
      <c r="H60" t="s">
        <v>104</v>
      </c>
      <c r="I60" t="s">
        <v>247</v>
      </c>
      <c r="J60" t="s">
        <v>248</v>
      </c>
      <c r="K60" t="s">
        <v>20</v>
      </c>
      <c r="L60" t="s">
        <v>54</v>
      </c>
    </row>
    <row r="61" spans="1:12" x14ac:dyDescent="0.3">
      <c r="A61">
        <v>1325</v>
      </c>
      <c r="B61" t="s">
        <v>47</v>
      </c>
      <c r="C61">
        <v>21</v>
      </c>
      <c r="D61" t="s">
        <v>55</v>
      </c>
      <c r="E61" t="s">
        <v>156</v>
      </c>
      <c r="F61" t="s">
        <v>717</v>
      </c>
      <c r="G61" t="s">
        <v>27</v>
      </c>
      <c r="H61" t="s">
        <v>17</v>
      </c>
      <c r="I61" t="s">
        <v>127</v>
      </c>
      <c r="J61" t="s">
        <v>250</v>
      </c>
      <c r="K61" t="s">
        <v>60</v>
      </c>
      <c r="L61" t="s">
        <v>61</v>
      </c>
    </row>
    <row r="62" spans="1:12" x14ac:dyDescent="0.3">
      <c r="A62">
        <v>1064</v>
      </c>
      <c r="B62" t="s">
        <v>163</v>
      </c>
      <c r="C62">
        <v>22</v>
      </c>
      <c r="D62" t="s">
        <v>659</v>
      </c>
      <c r="E62" t="s">
        <v>25</v>
      </c>
      <c r="F62" t="s">
        <v>718</v>
      </c>
      <c r="G62" t="s">
        <v>71</v>
      </c>
      <c r="H62" t="s">
        <v>76</v>
      </c>
      <c r="I62" t="s">
        <v>252</v>
      </c>
      <c r="J62" t="s">
        <v>253</v>
      </c>
      <c r="K62" t="s">
        <v>40</v>
      </c>
      <c r="L62" t="s">
        <v>54</v>
      </c>
    </row>
    <row r="63" spans="1:12" x14ac:dyDescent="0.3">
      <c r="A63">
        <v>1331</v>
      </c>
      <c r="B63" t="s">
        <v>74</v>
      </c>
      <c r="C63">
        <v>25</v>
      </c>
      <c r="D63" t="s">
        <v>24</v>
      </c>
      <c r="E63" t="s">
        <v>84</v>
      </c>
      <c r="F63" t="s">
        <v>719</v>
      </c>
      <c r="G63" t="s">
        <v>71</v>
      </c>
      <c r="H63" t="s">
        <v>76</v>
      </c>
      <c r="I63" t="s">
        <v>213</v>
      </c>
      <c r="J63" t="s">
        <v>255</v>
      </c>
      <c r="K63" t="s">
        <v>53</v>
      </c>
      <c r="L63" t="s">
        <v>41</v>
      </c>
    </row>
    <row r="64" spans="1:12" x14ac:dyDescent="0.3">
      <c r="A64">
        <v>1418</v>
      </c>
      <c r="B64" t="s">
        <v>117</v>
      </c>
      <c r="C64">
        <v>19</v>
      </c>
      <c r="D64" t="s">
        <v>55</v>
      </c>
      <c r="E64" t="s">
        <v>84</v>
      </c>
      <c r="F64" t="s">
        <v>720</v>
      </c>
      <c r="G64" t="s">
        <v>66</v>
      </c>
      <c r="H64" t="s">
        <v>110</v>
      </c>
      <c r="I64" t="s">
        <v>257</v>
      </c>
      <c r="J64" t="s">
        <v>258</v>
      </c>
      <c r="K64" t="s">
        <v>20</v>
      </c>
      <c r="L64" t="s">
        <v>41</v>
      </c>
    </row>
    <row r="65" spans="1:12" x14ac:dyDescent="0.3">
      <c r="A65">
        <v>1314</v>
      </c>
      <c r="B65" t="s">
        <v>47</v>
      </c>
      <c r="C65" t="s">
        <v>97</v>
      </c>
      <c r="D65" t="s">
        <v>659</v>
      </c>
      <c r="E65" t="s">
        <v>25</v>
      </c>
      <c r="F65" t="s">
        <v>721</v>
      </c>
      <c r="G65" t="s">
        <v>66</v>
      </c>
      <c r="H65" t="s">
        <v>28</v>
      </c>
      <c r="I65" t="s">
        <v>260</v>
      </c>
      <c r="J65" t="s">
        <v>261</v>
      </c>
      <c r="K65" t="s">
        <v>53</v>
      </c>
      <c r="L65" t="s">
        <v>41</v>
      </c>
    </row>
    <row r="66" spans="1:12" x14ac:dyDescent="0.3">
      <c r="A66">
        <v>1394</v>
      </c>
      <c r="B66" t="s">
        <v>163</v>
      </c>
      <c r="C66">
        <v>18</v>
      </c>
      <c r="D66" t="s">
        <v>24</v>
      </c>
      <c r="E66" t="s">
        <v>84</v>
      </c>
      <c r="F66" t="s">
        <v>722</v>
      </c>
      <c r="G66" t="s">
        <v>141</v>
      </c>
      <c r="H66" t="s">
        <v>28</v>
      </c>
      <c r="I66" t="s">
        <v>263</v>
      </c>
      <c r="J66" t="s">
        <v>51</v>
      </c>
      <c r="K66" t="s">
        <v>40</v>
      </c>
      <c r="L66" t="s">
        <v>41</v>
      </c>
    </row>
    <row r="67" spans="1:12" x14ac:dyDescent="0.3">
      <c r="A67">
        <v>1278</v>
      </c>
      <c r="B67" t="s">
        <v>74</v>
      </c>
      <c r="C67">
        <v>19</v>
      </c>
      <c r="D67" t="s">
        <v>55</v>
      </c>
      <c r="E67" t="s">
        <v>156</v>
      </c>
      <c r="F67" t="s">
        <v>723</v>
      </c>
      <c r="G67" t="s">
        <v>66</v>
      </c>
      <c r="H67" t="s">
        <v>142</v>
      </c>
      <c r="I67" t="s">
        <v>265</v>
      </c>
      <c r="J67" t="s">
        <v>266</v>
      </c>
      <c r="K67" t="s">
        <v>96</v>
      </c>
      <c r="L67" t="s">
        <v>54</v>
      </c>
    </row>
    <row r="68" spans="1:12" x14ac:dyDescent="0.3">
      <c r="A68">
        <v>1205</v>
      </c>
      <c r="B68" t="s">
        <v>155</v>
      </c>
      <c r="C68">
        <v>22</v>
      </c>
      <c r="D68" t="s">
        <v>55</v>
      </c>
      <c r="E68" t="s">
        <v>84</v>
      </c>
      <c r="F68" t="s">
        <v>724</v>
      </c>
      <c r="G68" t="s">
        <v>27</v>
      </c>
      <c r="H68" t="s">
        <v>17</v>
      </c>
      <c r="I68" t="s">
        <v>268</v>
      </c>
      <c r="J68" t="s">
        <v>269</v>
      </c>
      <c r="K68" t="s">
        <v>40</v>
      </c>
      <c r="L68" t="s">
        <v>61</v>
      </c>
    </row>
    <row r="69" spans="1:12" x14ac:dyDescent="0.3">
      <c r="A69">
        <v>1146</v>
      </c>
      <c r="B69" t="s">
        <v>117</v>
      </c>
      <c r="C69">
        <v>25</v>
      </c>
      <c r="D69" t="s">
        <v>659</v>
      </c>
      <c r="E69" t="s">
        <v>84</v>
      </c>
      <c r="F69" t="s">
        <v>725</v>
      </c>
      <c r="G69" t="s">
        <v>23</v>
      </c>
      <c r="H69" t="s">
        <v>76</v>
      </c>
      <c r="I69" t="s">
        <v>271</v>
      </c>
      <c r="J69" t="s">
        <v>272</v>
      </c>
      <c r="K69" t="s">
        <v>33</v>
      </c>
      <c r="L69" t="s">
        <v>116</v>
      </c>
    </row>
    <row r="70" spans="1:12" x14ac:dyDescent="0.3">
      <c r="A70">
        <v>1484</v>
      </c>
      <c r="B70" t="s">
        <v>107</v>
      </c>
      <c r="C70">
        <v>20</v>
      </c>
      <c r="D70" t="s">
        <v>55</v>
      </c>
      <c r="E70" t="s">
        <v>25</v>
      </c>
      <c r="F70" t="s">
        <v>726</v>
      </c>
      <c r="G70" t="s">
        <v>27</v>
      </c>
      <c r="H70" t="s">
        <v>17</v>
      </c>
      <c r="I70" t="s">
        <v>274</v>
      </c>
      <c r="J70" t="s">
        <v>82</v>
      </c>
      <c r="K70" t="s">
        <v>96</v>
      </c>
      <c r="L70" t="s">
        <v>116</v>
      </c>
    </row>
    <row r="71" spans="1:12" x14ac:dyDescent="0.3">
      <c r="A71">
        <v>1271</v>
      </c>
      <c r="B71" t="s">
        <v>22</v>
      </c>
      <c r="D71" t="s">
        <v>55</v>
      </c>
      <c r="E71" t="s">
        <v>84</v>
      </c>
      <c r="F71" t="s">
        <v>727</v>
      </c>
      <c r="G71" t="s">
        <v>27</v>
      </c>
      <c r="H71" t="s">
        <v>110</v>
      </c>
      <c r="I71" t="s">
        <v>276</v>
      </c>
      <c r="J71" t="s">
        <v>277</v>
      </c>
      <c r="K71" t="s">
        <v>60</v>
      </c>
      <c r="L71" t="s">
        <v>116</v>
      </c>
    </row>
    <row r="72" spans="1:12" x14ac:dyDescent="0.3">
      <c r="A72">
        <v>1491</v>
      </c>
      <c r="B72" t="s">
        <v>22</v>
      </c>
      <c r="C72" t="s">
        <v>128</v>
      </c>
      <c r="D72" t="s">
        <v>659</v>
      </c>
      <c r="E72" t="s">
        <v>25</v>
      </c>
      <c r="F72" t="s">
        <v>728</v>
      </c>
      <c r="G72" t="s">
        <v>141</v>
      </c>
      <c r="H72" t="s">
        <v>37</v>
      </c>
      <c r="I72" t="s">
        <v>279</v>
      </c>
      <c r="J72" t="s">
        <v>280</v>
      </c>
      <c r="K72" t="s">
        <v>60</v>
      </c>
      <c r="L72" t="s">
        <v>41</v>
      </c>
    </row>
    <row r="73" spans="1:12" x14ac:dyDescent="0.3">
      <c r="A73">
        <v>1411</v>
      </c>
      <c r="B73" t="s">
        <v>22</v>
      </c>
      <c r="C73" t="s">
        <v>128</v>
      </c>
      <c r="D73" t="s">
        <v>55</v>
      </c>
      <c r="E73" t="s">
        <v>25</v>
      </c>
      <c r="F73" t="s">
        <v>729</v>
      </c>
      <c r="G73" t="s">
        <v>23</v>
      </c>
      <c r="H73" t="s">
        <v>130</v>
      </c>
      <c r="I73" t="s">
        <v>282</v>
      </c>
      <c r="J73" t="s">
        <v>283</v>
      </c>
      <c r="K73" t="s">
        <v>53</v>
      </c>
      <c r="L73" t="s">
        <v>61</v>
      </c>
    </row>
    <row r="74" spans="1:12" x14ac:dyDescent="0.3">
      <c r="A74">
        <v>1253</v>
      </c>
      <c r="B74" t="s">
        <v>136</v>
      </c>
      <c r="C74">
        <v>22</v>
      </c>
      <c r="D74" t="s">
        <v>659</v>
      </c>
      <c r="E74" t="s">
        <v>84</v>
      </c>
      <c r="F74" t="s">
        <v>730</v>
      </c>
      <c r="G74" t="s">
        <v>71</v>
      </c>
      <c r="H74" t="s">
        <v>110</v>
      </c>
      <c r="I74" t="s">
        <v>285</v>
      </c>
      <c r="J74" t="s">
        <v>286</v>
      </c>
      <c r="K74" t="s">
        <v>33</v>
      </c>
      <c r="L74" t="s">
        <v>101</v>
      </c>
    </row>
    <row r="75" spans="1:12" x14ac:dyDescent="0.3">
      <c r="A75">
        <v>1492</v>
      </c>
      <c r="B75" t="s">
        <v>12</v>
      </c>
      <c r="C75" t="s">
        <v>97</v>
      </c>
      <c r="D75" t="s">
        <v>55</v>
      </c>
      <c r="E75" t="s">
        <v>167</v>
      </c>
      <c r="F75" t="s">
        <v>731</v>
      </c>
      <c r="G75" t="s">
        <v>66</v>
      </c>
      <c r="H75" t="s">
        <v>90</v>
      </c>
      <c r="I75" t="s">
        <v>288</v>
      </c>
      <c r="J75" t="s">
        <v>285</v>
      </c>
      <c r="K75" t="s">
        <v>20</v>
      </c>
      <c r="L75" t="s">
        <v>21</v>
      </c>
    </row>
    <row r="76" spans="1:12" x14ac:dyDescent="0.3">
      <c r="A76">
        <v>1158</v>
      </c>
      <c r="B76" t="s">
        <v>74</v>
      </c>
      <c r="C76">
        <v>21</v>
      </c>
      <c r="D76" t="s">
        <v>659</v>
      </c>
      <c r="E76" t="s">
        <v>167</v>
      </c>
      <c r="F76" t="s">
        <v>732</v>
      </c>
      <c r="G76" t="s">
        <v>23</v>
      </c>
      <c r="H76" t="s">
        <v>17</v>
      </c>
      <c r="I76" t="s">
        <v>18</v>
      </c>
      <c r="J76" t="s">
        <v>290</v>
      </c>
      <c r="K76" t="s">
        <v>53</v>
      </c>
      <c r="L76" t="s">
        <v>54</v>
      </c>
    </row>
    <row r="77" spans="1:12" x14ac:dyDescent="0.3">
      <c r="A77">
        <v>1180</v>
      </c>
      <c r="B77" t="s">
        <v>22</v>
      </c>
      <c r="C77">
        <v>22</v>
      </c>
      <c r="D77" t="s">
        <v>55</v>
      </c>
      <c r="E77" t="s">
        <v>25</v>
      </c>
      <c r="F77" t="s">
        <v>733</v>
      </c>
      <c r="G77" t="s">
        <v>16</v>
      </c>
      <c r="H77" t="s">
        <v>76</v>
      </c>
      <c r="I77" t="s">
        <v>292</v>
      </c>
      <c r="J77" t="s">
        <v>293</v>
      </c>
      <c r="K77" t="s">
        <v>53</v>
      </c>
      <c r="L77" t="s">
        <v>116</v>
      </c>
    </row>
    <row r="78" spans="1:12" x14ac:dyDescent="0.3">
      <c r="A78">
        <v>1070</v>
      </c>
      <c r="B78" t="s">
        <v>107</v>
      </c>
      <c r="C78">
        <v>22</v>
      </c>
      <c r="D78" t="s">
        <v>24</v>
      </c>
      <c r="E78" t="s">
        <v>167</v>
      </c>
      <c r="F78" t="s">
        <v>734</v>
      </c>
      <c r="G78" t="s">
        <v>66</v>
      </c>
      <c r="H78" t="s">
        <v>17</v>
      </c>
      <c r="I78" t="s">
        <v>295</v>
      </c>
      <c r="J78" t="s">
        <v>296</v>
      </c>
      <c r="K78" t="s">
        <v>40</v>
      </c>
      <c r="L78" t="s">
        <v>61</v>
      </c>
    </row>
    <row r="79" spans="1:12" x14ac:dyDescent="0.3">
      <c r="A79">
        <v>1365</v>
      </c>
      <c r="B79" t="s">
        <v>22</v>
      </c>
      <c r="C79">
        <v>24</v>
      </c>
      <c r="D79" t="s">
        <v>659</v>
      </c>
      <c r="E79" t="s">
        <v>156</v>
      </c>
      <c r="F79" t="s">
        <v>735</v>
      </c>
      <c r="G79" t="s">
        <v>50</v>
      </c>
      <c r="H79" t="s">
        <v>90</v>
      </c>
      <c r="I79" t="s">
        <v>211</v>
      </c>
      <c r="J79" t="s">
        <v>298</v>
      </c>
      <c r="K79" t="s">
        <v>96</v>
      </c>
      <c r="L79" t="s">
        <v>41</v>
      </c>
    </row>
    <row r="80" spans="1:12" x14ac:dyDescent="0.3">
      <c r="A80">
        <v>1371</v>
      </c>
      <c r="B80" t="s">
        <v>155</v>
      </c>
      <c r="C80">
        <v>20</v>
      </c>
      <c r="D80" t="s">
        <v>24</v>
      </c>
      <c r="E80" t="s">
        <v>84</v>
      </c>
      <c r="F80" t="s">
        <v>736</v>
      </c>
      <c r="G80" t="s">
        <v>36</v>
      </c>
      <c r="H80" t="s">
        <v>76</v>
      </c>
      <c r="I80" t="s">
        <v>300</v>
      </c>
      <c r="J80" t="s">
        <v>301</v>
      </c>
      <c r="K80" t="s">
        <v>40</v>
      </c>
      <c r="L80" t="s">
        <v>116</v>
      </c>
    </row>
    <row r="81" spans="1:12" x14ac:dyDescent="0.3">
      <c r="A81">
        <v>1154</v>
      </c>
      <c r="B81" t="s">
        <v>136</v>
      </c>
      <c r="C81">
        <v>25</v>
      </c>
      <c r="D81" t="s">
        <v>659</v>
      </c>
      <c r="E81" t="s">
        <v>167</v>
      </c>
      <c r="F81" t="s">
        <v>737</v>
      </c>
      <c r="G81" t="s">
        <v>36</v>
      </c>
      <c r="H81" t="s">
        <v>104</v>
      </c>
      <c r="I81" t="s">
        <v>303</v>
      </c>
      <c r="J81" t="s">
        <v>304</v>
      </c>
      <c r="K81" t="s">
        <v>53</v>
      </c>
      <c r="L81" t="s">
        <v>21</v>
      </c>
    </row>
    <row r="82" spans="1:12" x14ac:dyDescent="0.3">
      <c r="A82">
        <v>1208</v>
      </c>
      <c r="B82" t="s">
        <v>47</v>
      </c>
      <c r="C82">
        <v>25</v>
      </c>
      <c r="D82" t="s">
        <v>659</v>
      </c>
      <c r="E82" t="s">
        <v>84</v>
      </c>
      <c r="F82" t="s">
        <v>738</v>
      </c>
      <c r="G82" t="s">
        <v>50</v>
      </c>
      <c r="H82" t="s">
        <v>28</v>
      </c>
      <c r="I82" t="s">
        <v>124</v>
      </c>
      <c r="J82" t="s">
        <v>306</v>
      </c>
      <c r="K82" t="s">
        <v>60</v>
      </c>
      <c r="L82" t="s">
        <v>116</v>
      </c>
    </row>
    <row r="83" spans="1:12" x14ac:dyDescent="0.3">
      <c r="A83">
        <v>1390</v>
      </c>
      <c r="B83" t="s">
        <v>47</v>
      </c>
      <c r="C83">
        <v>25</v>
      </c>
      <c r="D83" t="s">
        <v>24</v>
      </c>
      <c r="E83" t="s">
        <v>84</v>
      </c>
      <c r="F83" t="s">
        <v>739</v>
      </c>
      <c r="G83" t="s">
        <v>66</v>
      </c>
      <c r="H83" t="s">
        <v>104</v>
      </c>
      <c r="I83" t="s">
        <v>308</v>
      </c>
      <c r="J83" t="s">
        <v>309</v>
      </c>
      <c r="K83" t="s">
        <v>40</v>
      </c>
      <c r="L83" t="s">
        <v>61</v>
      </c>
    </row>
    <row r="84" spans="1:12" x14ac:dyDescent="0.3">
      <c r="A84">
        <v>1270</v>
      </c>
      <c r="B84" t="s">
        <v>163</v>
      </c>
      <c r="C84">
        <v>22</v>
      </c>
      <c r="D84" t="s">
        <v>659</v>
      </c>
      <c r="E84" t="s">
        <v>25</v>
      </c>
      <c r="F84" t="s">
        <v>740</v>
      </c>
      <c r="G84" t="s">
        <v>66</v>
      </c>
      <c r="H84" t="s">
        <v>110</v>
      </c>
      <c r="I84" t="s">
        <v>311</v>
      </c>
      <c r="J84" t="s">
        <v>312</v>
      </c>
      <c r="K84" t="s">
        <v>40</v>
      </c>
      <c r="L84" t="s">
        <v>31</v>
      </c>
    </row>
    <row r="85" spans="1:12" x14ac:dyDescent="0.3">
      <c r="A85">
        <v>1255</v>
      </c>
      <c r="B85" t="s">
        <v>74</v>
      </c>
      <c r="C85" t="s">
        <v>23</v>
      </c>
      <c r="D85" t="s">
        <v>24</v>
      </c>
      <c r="E85" t="s">
        <v>156</v>
      </c>
      <c r="F85" t="s">
        <v>741</v>
      </c>
      <c r="G85" t="s">
        <v>50</v>
      </c>
      <c r="H85" t="s">
        <v>90</v>
      </c>
      <c r="I85" t="s">
        <v>314</v>
      </c>
      <c r="J85" t="s">
        <v>315</v>
      </c>
      <c r="K85" t="s">
        <v>20</v>
      </c>
      <c r="L85" t="s">
        <v>54</v>
      </c>
    </row>
    <row r="86" spans="1:12" x14ac:dyDescent="0.3">
      <c r="A86">
        <v>1244</v>
      </c>
      <c r="B86" t="s">
        <v>22</v>
      </c>
      <c r="C86">
        <v>25</v>
      </c>
      <c r="D86" t="s">
        <v>659</v>
      </c>
      <c r="E86" t="s">
        <v>167</v>
      </c>
      <c r="F86" t="s">
        <v>742</v>
      </c>
      <c r="G86" t="s">
        <v>141</v>
      </c>
      <c r="H86" t="s">
        <v>110</v>
      </c>
      <c r="I86" t="s">
        <v>208</v>
      </c>
      <c r="J86" t="s">
        <v>317</v>
      </c>
      <c r="K86" t="s">
        <v>96</v>
      </c>
      <c r="L86" t="s">
        <v>54</v>
      </c>
    </row>
    <row r="87" spans="1:12" x14ac:dyDescent="0.3">
      <c r="A87">
        <v>1359</v>
      </c>
      <c r="B87" t="s">
        <v>107</v>
      </c>
      <c r="C87" t="s">
        <v>97</v>
      </c>
      <c r="D87" t="s">
        <v>24</v>
      </c>
      <c r="E87" t="s">
        <v>25</v>
      </c>
      <c r="F87" t="s">
        <v>743</v>
      </c>
      <c r="G87" t="s">
        <v>71</v>
      </c>
      <c r="H87" t="s">
        <v>37</v>
      </c>
      <c r="I87" t="s">
        <v>319</v>
      </c>
      <c r="J87" t="s">
        <v>320</v>
      </c>
      <c r="K87" t="s">
        <v>20</v>
      </c>
      <c r="L87" t="s">
        <v>41</v>
      </c>
    </row>
    <row r="88" spans="1:12" x14ac:dyDescent="0.3">
      <c r="A88">
        <v>1459</v>
      </c>
      <c r="B88" t="s">
        <v>74</v>
      </c>
      <c r="C88">
        <v>22</v>
      </c>
      <c r="D88" t="s">
        <v>24</v>
      </c>
      <c r="E88" t="s">
        <v>156</v>
      </c>
      <c r="F88" t="s">
        <v>744</v>
      </c>
      <c r="G88" t="s">
        <v>23</v>
      </c>
      <c r="H88" t="s">
        <v>110</v>
      </c>
      <c r="I88" t="s">
        <v>322</v>
      </c>
      <c r="J88" t="s">
        <v>323</v>
      </c>
      <c r="K88" t="s">
        <v>20</v>
      </c>
      <c r="L88" t="s">
        <v>116</v>
      </c>
    </row>
    <row r="89" spans="1:12" x14ac:dyDescent="0.3">
      <c r="A89">
        <v>1438</v>
      </c>
      <c r="B89" t="s">
        <v>74</v>
      </c>
      <c r="C89">
        <v>18</v>
      </c>
      <c r="D89" t="s">
        <v>55</v>
      </c>
      <c r="E89" t="s">
        <v>25</v>
      </c>
      <c r="F89" t="s">
        <v>745</v>
      </c>
      <c r="G89" t="s">
        <v>66</v>
      </c>
      <c r="H89" t="s">
        <v>90</v>
      </c>
      <c r="I89" t="s">
        <v>325</v>
      </c>
      <c r="J89" t="s">
        <v>326</v>
      </c>
      <c r="K89" t="s">
        <v>40</v>
      </c>
      <c r="L89" t="s">
        <v>101</v>
      </c>
    </row>
    <row r="90" spans="1:12" x14ac:dyDescent="0.3">
      <c r="A90">
        <v>1455</v>
      </c>
      <c r="B90" t="s">
        <v>74</v>
      </c>
      <c r="C90">
        <v>25</v>
      </c>
      <c r="D90" t="s">
        <v>55</v>
      </c>
      <c r="E90" t="s">
        <v>156</v>
      </c>
      <c r="F90" t="s">
        <v>746</v>
      </c>
      <c r="G90" t="s">
        <v>50</v>
      </c>
      <c r="H90" t="s">
        <v>37</v>
      </c>
      <c r="I90" t="s">
        <v>328</v>
      </c>
      <c r="J90" t="s">
        <v>329</v>
      </c>
      <c r="K90" t="s">
        <v>20</v>
      </c>
      <c r="L90" t="s">
        <v>41</v>
      </c>
    </row>
    <row r="91" spans="1:12" x14ac:dyDescent="0.3">
      <c r="A91">
        <v>1129</v>
      </c>
      <c r="B91" t="s">
        <v>107</v>
      </c>
      <c r="C91" t="s">
        <v>128</v>
      </c>
      <c r="D91" t="s">
        <v>24</v>
      </c>
      <c r="E91" t="s">
        <v>156</v>
      </c>
      <c r="F91" t="s">
        <v>747</v>
      </c>
      <c r="G91" t="s">
        <v>50</v>
      </c>
      <c r="H91" t="s">
        <v>76</v>
      </c>
      <c r="I91" t="s">
        <v>131</v>
      </c>
      <c r="J91" t="s">
        <v>331</v>
      </c>
      <c r="K91" t="s">
        <v>40</v>
      </c>
      <c r="L91" t="s">
        <v>61</v>
      </c>
    </row>
    <row r="92" spans="1:12" x14ac:dyDescent="0.3">
      <c r="A92">
        <v>1043</v>
      </c>
      <c r="B92" t="s">
        <v>120</v>
      </c>
      <c r="C92" t="s">
        <v>23</v>
      </c>
      <c r="D92" t="s">
        <v>24</v>
      </c>
      <c r="E92" t="s">
        <v>84</v>
      </c>
      <c r="F92" t="s">
        <v>748</v>
      </c>
      <c r="G92" t="s">
        <v>141</v>
      </c>
      <c r="H92" t="s">
        <v>130</v>
      </c>
      <c r="I92" t="s">
        <v>211</v>
      </c>
      <c r="J92" t="s">
        <v>333</v>
      </c>
      <c r="K92" t="s">
        <v>53</v>
      </c>
      <c r="L92" t="s">
        <v>101</v>
      </c>
    </row>
    <row r="93" spans="1:12" x14ac:dyDescent="0.3">
      <c r="A93">
        <v>1186</v>
      </c>
      <c r="B93" t="s">
        <v>120</v>
      </c>
      <c r="C93" t="s">
        <v>23</v>
      </c>
      <c r="D93" t="s">
        <v>659</v>
      </c>
      <c r="E93" t="s">
        <v>167</v>
      </c>
      <c r="F93" t="s">
        <v>749</v>
      </c>
      <c r="G93" t="s">
        <v>36</v>
      </c>
      <c r="H93" t="s">
        <v>76</v>
      </c>
      <c r="I93" t="s">
        <v>335</v>
      </c>
      <c r="J93" t="s">
        <v>336</v>
      </c>
      <c r="K93" t="s">
        <v>20</v>
      </c>
      <c r="L93" t="s">
        <v>78</v>
      </c>
    </row>
    <row r="94" spans="1:12" x14ac:dyDescent="0.3">
      <c r="A94">
        <v>1357</v>
      </c>
      <c r="B94" t="s">
        <v>22</v>
      </c>
      <c r="C94">
        <v>24</v>
      </c>
      <c r="D94" t="s">
        <v>55</v>
      </c>
      <c r="E94" t="s">
        <v>25</v>
      </c>
      <c r="F94" t="s">
        <v>750</v>
      </c>
      <c r="G94" t="s">
        <v>141</v>
      </c>
      <c r="H94" t="s">
        <v>28</v>
      </c>
      <c r="I94" t="s">
        <v>338</v>
      </c>
      <c r="J94" t="s">
        <v>339</v>
      </c>
      <c r="K94" t="s">
        <v>60</v>
      </c>
      <c r="L94" t="s">
        <v>78</v>
      </c>
    </row>
    <row r="95" spans="1:12" x14ac:dyDescent="0.3">
      <c r="A95">
        <v>1183</v>
      </c>
      <c r="B95" t="s">
        <v>163</v>
      </c>
      <c r="C95">
        <v>21</v>
      </c>
      <c r="D95" t="s">
        <v>659</v>
      </c>
      <c r="E95" t="s">
        <v>84</v>
      </c>
      <c r="F95" t="s">
        <v>751</v>
      </c>
      <c r="G95" t="s">
        <v>27</v>
      </c>
      <c r="H95" t="s">
        <v>37</v>
      </c>
      <c r="I95" t="s">
        <v>179</v>
      </c>
      <c r="J95" t="s">
        <v>341</v>
      </c>
      <c r="K95" t="s">
        <v>20</v>
      </c>
      <c r="L95" t="s">
        <v>78</v>
      </c>
    </row>
    <row r="96" spans="1:12" x14ac:dyDescent="0.3">
      <c r="A96">
        <v>1025</v>
      </c>
      <c r="B96" t="s">
        <v>120</v>
      </c>
      <c r="C96">
        <v>22</v>
      </c>
      <c r="D96" t="s">
        <v>55</v>
      </c>
      <c r="E96" t="s">
        <v>167</v>
      </c>
      <c r="F96" t="s">
        <v>752</v>
      </c>
      <c r="G96" t="s">
        <v>23</v>
      </c>
      <c r="H96" t="s">
        <v>218</v>
      </c>
      <c r="I96" t="s">
        <v>343</v>
      </c>
      <c r="J96" t="s">
        <v>344</v>
      </c>
      <c r="K96" t="s">
        <v>40</v>
      </c>
      <c r="L96" t="s">
        <v>21</v>
      </c>
    </row>
    <row r="97" spans="1:12" x14ac:dyDescent="0.3">
      <c r="A97">
        <v>1434</v>
      </c>
      <c r="B97" t="s">
        <v>136</v>
      </c>
      <c r="C97">
        <v>19</v>
      </c>
      <c r="D97" t="s">
        <v>24</v>
      </c>
      <c r="E97" t="s">
        <v>25</v>
      </c>
      <c r="F97" t="s">
        <v>753</v>
      </c>
      <c r="G97" t="s">
        <v>66</v>
      </c>
      <c r="H97" t="s">
        <v>17</v>
      </c>
      <c r="I97" t="s">
        <v>346</v>
      </c>
      <c r="J97" t="s">
        <v>45</v>
      </c>
      <c r="K97" t="s">
        <v>33</v>
      </c>
      <c r="L97" t="s">
        <v>116</v>
      </c>
    </row>
    <row r="98" spans="1:12" x14ac:dyDescent="0.3">
      <c r="A98">
        <v>1468</v>
      </c>
      <c r="B98" t="s">
        <v>32</v>
      </c>
      <c r="C98">
        <v>19</v>
      </c>
      <c r="D98" t="s">
        <v>55</v>
      </c>
      <c r="E98" t="s">
        <v>84</v>
      </c>
      <c r="F98" t="s">
        <v>754</v>
      </c>
      <c r="G98" t="s">
        <v>66</v>
      </c>
      <c r="H98" t="s">
        <v>90</v>
      </c>
      <c r="I98" t="s">
        <v>348</v>
      </c>
      <c r="J98" t="s">
        <v>349</v>
      </c>
      <c r="K98" t="s">
        <v>40</v>
      </c>
      <c r="L98" t="s">
        <v>116</v>
      </c>
    </row>
    <row r="99" spans="1:12" x14ac:dyDescent="0.3">
      <c r="A99">
        <v>1312</v>
      </c>
      <c r="B99" t="s">
        <v>12</v>
      </c>
      <c r="C99">
        <v>25</v>
      </c>
      <c r="D99" t="s">
        <v>55</v>
      </c>
      <c r="E99" t="s">
        <v>167</v>
      </c>
      <c r="F99" t="s">
        <v>755</v>
      </c>
      <c r="G99" t="s">
        <v>66</v>
      </c>
      <c r="H99" t="s">
        <v>142</v>
      </c>
      <c r="I99" t="s">
        <v>351</v>
      </c>
      <c r="J99" t="s">
        <v>352</v>
      </c>
      <c r="K99" t="s">
        <v>40</v>
      </c>
      <c r="L99" t="s">
        <v>41</v>
      </c>
    </row>
    <row r="100" spans="1:12" x14ac:dyDescent="0.3">
      <c r="A100">
        <v>1305</v>
      </c>
      <c r="B100" t="s">
        <v>107</v>
      </c>
      <c r="C100">
        <v>20</v>
      </c>
      <c r="D100" t="s">
        <v>24</v>
      </c>
      <c r="E100" t="s">
        <v>84</v>
      </c>
      <c r="F100" t="s">
        <v>756</v>
      </c>
      <c r="G100" t="s">
        <v>50</v>
      </c>
      <c r="H100" t="s">
        <v>130</v>
      </c>
      <c r="I100" t="s">
        <v>354</v>
      </c>
      <c r="J100" t="s">
        <v>290</v>
      </c>
      <c r="K100" t="s">
        <v>40</v>
      </c>
      <c r="L100" t="s">
        <v>101</v>
      </c>
    </row>
    <row r="101" spans="1:12" x14ac:dyDescent="0.3">
      <c r="A101">
        <v>1268</v>
      </c>
      <c r="B101" t="s">
        <v>136</v>
      </c>
      <c r="D101" t="s">
        <v>55</v>
      </c>
      <c r="E101" t="s">
        <v>84</v>
      </c>
      <c r="F101" t="s">
        <v>757</v>
      </c>
      <c r="G101" t="s">
        <v>36</v>
      </c>
      <c r="H101" t="s">
        <v>104</v>
      </c>
      <c r="I101" t="s">
        <v>356</v>
      </c>
      <c r="J101" t="s">
        <v>357</v>
      </c>
      <c r="K101" t="s">
        <v>53</v>
      </c>
      <c r="L101" t="s">
        <v>101</v>
      </c>
    </row>
    <row r="102" spans="1:12" x14ac:dyDescent="0.3">
      <c r="A102">
        <v>1018</v>
      </c>
      <c r="B102" t="s">
        <v>107</v>
      </c>
      <c r="C102" t="s">
        <v>23</v>
      </c>
      <c r="D102" t="s">
        <v>659</v>
      </c>
      <c r="E102" t="s">
        <v>25</v>
      </c>
      <c r="F102" t="s">
        <v>758</v>
      </c>
      <c r="G102" t="s">
        <v>66</v>
      </c>
      <c r="H102" t="s">
        <v>110</v>
      </c>
      <c r="I102" t="s">
        <v>359</v>
      </c>
      <c r="J102" t="s">
        <v>360</v>
      </c>
      <c r="K102" t="s">
        <v>53</v>
      </c>
      <c r="L102" t="s">
        <v>41</v>
      </c>
    </row>
    <row r="103" spans="1:12" x14ac:dyDescent="0.3">
      <c r="A103">
        <v>1465</v>
      </c>
      <c r="B103" t="s">
        <v>120</v>
      </c>
      <c r="C103" t="s">
        <v>23</v>
      </c>
      <c r="D103" t="s">
        <v>24</v>
      </c>
      <c r="E103" t="s">
        <v>25</v>
      </c>
      <c r="F103" t="s">
        <v>759</v>
      </c>
      <c r="G103" t="s">
        <v>36</v>
      </c>
      <c r="H103" t="s">
        <v>28</v>
      </c>
      <c r="I103" t="s">
        <v>159</v>
      </c>
      <c r="J103" t="s">
        <v>362</v>
      </c>
      <c r="K103" t="s">
        <v>53</v>
      </c>
      <c r="L103" t="s">
        <v>31</v>
      </c>
    </row>
    <row r="104" spans="1:12" x14ac:dyDescent="0.3">
      <c r="A104">
        <v>1001</v>
      </c>
      <c r="B104" t="s">
        <v>74</v>
      </c>
      <c r="C104">
        <v>25</v>
      </c>
      <c r="D104" t="s">
        <v>659</v>
      </c>
      <c r="E104" t="s">
        <v>167</v>
      </c>
      <c r="F104" t="s">
        <v>760</v>
      </c>
      <c r="G104" t="s">
        <v>16</v>
      </c>
      <c r="H104" t="s">
        <v>37</v>
      </c>
      <c r="I104" t="s">
        <v>265</v>
      </c>
      <c r="J104" t="s">
        <v>364</v>
      </c>
      <c r="K104" t="s">
        <v>53</v>
      </c>
      <c r="L104" t="s">
        <v>78</v>
      </c>
    </row>
    <row r="105" spans="1:12" x14ac:dyDescent="0.3">
      <c r="A105">
        <v>1051</v>
      </c>
      <c r="B105" t="s">
        <v>163</v>
      </c>
      <c r="C105" t="s">
        <v>97</v>
      </c>
      <c r="D105" t="s">
        <v>24</v>
      </c>
      <c r="E105" t="s">
        <v>84</v>
      </c>
      <c r="F105" t="s">
        <v>761</v>
      </c>
      <c r="G105" t="s">
        <v>50</v>
      </c>
      <c r="H105" t="s">
        <v>17</v>
      </c>
      <c r="I105" t="s">
        <v>366</v>
      </c>
      <c r="J105" t="s">
        <v>222</v>
      </c>
      <c r="K105" t="s">
        <v>40</v>
      </c>
      <c r="L105" t="s">
        <v>61</v>
      </c>
    </row>
    <row r="106" spans="1:12" x14ac:dyDescent="0.3">
      <c r="A106">
        <v>1428</v>
      </c>
      <c r="B106" t="s">
        <v>155</v>
      </c>
      <c r="C106">
        <v>22</v>
      </c>
      <c r="D106" t="s">
        <v>24</v>
      </c>
      <c r="E106" t="s">
        <v>156</v>
      </c>
      <c r="F106" t="s">
        <v>762</v>
      </c>
      <c r="G106" t="s">
        <v>16</v>
      </c>
      <c r="H106" t="s">
        <v>28</v>
      </c>
      <c r="I106" t="s">
        <v>265</v>
      </c>
      <c r="J106" t="s">
        <v>368</v>
      </c>
      <c r="K106" t="s">
        <v>33</v>
      </c>
      <c r="L106" t="s">
        <v>101</v>
      </c>
    </row>
    <row r="107" spans="1:12" x14ac:dyDescent="0.3">
      <c r="A107">
        <v>1373</v>
      </c>
      <c r="B107" t="s">
        <v>12</v>
      </c>
      <c r="D107" t="s">
        <v>24</v>
      </c>
      <c r="E107" t="s">
        <v>84</v>
      </c>
      <c r="F107" t="s">
        <v>763</v>
      </c>
      <c r="G107" t="s">
        <v>66</v>
      </c>
      <c r="H107" t="s">
        <v>90</v>
      </c>
      <c r="I107" t="s">
        <v>326</v>
      </c>
      <c r="J107" t="s">
        <v>370</v>
      </c>
      <c r="K107" t="s">
        <v>60</v>
      </c>
      <c r="L107" t="s">
        <v>116</v>
      </c>
    </row>
    <row r="108" spans="1:12" x14ac:dyDescent="0.3">
      <c r="A108">
        <v>1233</v>
      </c>
      <c r="B108" t="s">
        <v>155</v>
      </c>
      <c r="C108" t="s">
        <v>23</v>
      </c>
      <c r="D108" t="s">
        <v>55</v>
      </c>
      <c r="E108" t="s">
        <v>167</v>
      </c>
      <c r="F108" t="s">
        <v>764</v>
      </c>
      <c r="G108" t="s">
        <v>66</v>
      </c>
      <c r="H108" t="s">
        <v>130</v>
      </c>
      <c r="I108" t="s">
        <v>372</v>
      </c>
      <c r="J108" t="s">
        <v>373</v>
      </c>
      <c r="K108" t="s">
        <v>33</v>
      </c>
      <c r="L108" t="s">
        <v>21</v>
      </c>
    </row>
    <row r="109" spans="1:12" x14ac:dyDescent="0.3">
      <c r="A109">
        <v>1304</v>
      </c>
      <c r="B109" t="s">
        <v>74</v>
      </c>
      <c r="C109">
        <v>22</v>
      </c>
      <c r="D109" t="s">
        <v>24</v>
      </c>
      <c r="E109" t="s">
        <v>156</v>
      </c>
      <c r="F109" t="s">
        <v>765</v>
      </c>
      <c r="G109" t="s">
        <v>141</v>
      </c>
      <c r="H109" t="s">
        <v>130</v>
      </c>
      <c r="I109" t="s">
        <v>323</v>
      </c>
      <c r="J109" t="s">
        <v>176</v>
      </c>
      <c r="K109" t="s">
        <v>60</v>
      </c>
      <c r="L109" t="s">
        <v>101</v>
      </c>
    </row>
    <row r="110" spans="1:12" x14ac:dyDescent="0.3">
      <c r="A110">
        <v>1056</v>
      </c>
      <c r="B110" t="s">
        <v>12</v>
      </c>
      <c r="C110">
        <v>22</v>
      </c>
      <c r="D110" t="s">
        <v>24</v>
      </c>
      <c r="E110" t="s">
        <v>25</v>
      </c>
      <c r="F110" t="s">
        <v>766</v>
      </c>
      <c r="G110" t="s">
        <v>27</v>
      </c>
      <c r="H110" t="s">
        <v>104</v>
      </c>
      <c r="I110" t="s">
        <v>376</v>
      </c>
      <c r="J110" t="s">
        <v>377</v>
      </c>
      <c r="K110" t="s">
        <v>53</v>
      </c>
      <c r="L110" t="s">
        <v>116</v>
      </c>
    </row>
    <row r="111" spans="1:12" x14ac:dyDescent="0.3">
      <c r="A111">
        <v>1475</v>
      </c>
      <c r="B111" t="s">
        <v>74</v>
      </c>
      <c r="C111">
        <v>22</v>
      </c>
      <c r="D111" t="s">
        <v>55</v>
      </c>
      <c r="E111" t="s">
        <v>25</v>
      </c>
      <c r="F111" t="s">
        <v>767</v>
      </c>
      <c r="G111" t="s">
        <v>23</v>
      </c>
      <c r="H111" t="s">
        <v>28</v>
      </c>
      <c r="I111" t="s">
        <v>379</v>
      </c>
      <c r="J111" t="s">
        <v>165</v>
      </c>
      <c r="K111" t="s">
        <v>20</v>
      </c>
      <c r="L111" t="s">
        <v>78</v>
      </c>
    </row>
    <row r="112" spans="1:12" x14ac:dyDescent="0.3">
      <c r="A112">
        <v>1433</v>
      </c>
      <c r="B112" t="s">
        <v>47</v>
      </c>
      <c r="C112">
        <v>25</v>
      </c>
      <c r="D112" t="s">
        <v>24</v>
      </c>
      <c r="E112" t="s">
        <v>156</v>
      </c>
      <c r="F112" t="s">
        <v>768</v>
      </c>
      <c r="G112" t="s">
        <v>50</v>
      </c>
      <c r="H112" t="s">
        <v>37</v>
      </c>
      <c r="I112" t="s">
        <v>381</v>
      </c>
      <c r="J112" t="s">
        <v>339</v>
      </c>
      <c r="K112" t="s">
        <v>60</v>
      </c>
      <c r="L112" t="s">
        <v>31</v>
      </c>
    </row>
    <row r="113" spans="1:12" x14ac:dyDescent="0.3">
      <c r="A113">
        <v>1342</v>
      </c>
      <c r="B113" t="s">
        <v>12</v>
      </c>
      <c r="C113">
        <v>25</v>
      </c>
      <c r="D113" t="s">
        <v>55</v>
      </c>
      <c r="E113" t="s">
        <v>84</v>
      </c>
      <c r="F113" t="s">
        <v>769</v>
      </c>
      <c r="G113" t="s">
        <v>66</v>
      </c>
      <c r="H113" t="s">
        <v>218</v>
      </c>
      <c r="I113" t="s">
        <v>383</v>
      </c>
      <c r="J113" t="s">
        <v>384</v>
      </c>
      <c r="K113" t="s">
        <v>20</v>
      </c>
      <c r="L113" t="s">
        <v>21</v>
      </c>
    </row>
    <row r="114" spans="1:12" x14ac:dyDescent="0.3">
      <c r="A114">
        <v>1003</v>
      </c>
      <c r="B114" t="s">
        <v>117</v>
      </c>
      <c r="C114">
        <v>22</v>
      </c>
      <c r="D114" t="s">
        <v>659</v>
      </c>
      <c r="E114" t="s">
        <v>25</v>
      </c>
      <c r="F114" t="s">
        <v>770</v>
      </c>
      <c r="G114" t="s">
        <v>66</v>
      </c>
      <c r="H114" t="s">
        <v>218</v>
      </c>
      <c r="I114" t="s">
        <v>295</v>
      </c>
      <c r="J114" t="s">
        <v>386</v>
      </c>
      <c r="K114" t="s">
        <v>20</v>
      </c>
      <c r="L114" t="s">
        <v>78</v>
      </c>
    </row>
    <row r="115" spans="1:12" x14ac:dyDescent="0.3">
      <c r="A115">
        <v>1067</v>
      </c>
      <c r="B115" t="s">
        <v>163</v>
      </c>
      <c r="C115" t="s">
        <v>128</v>
      </c>
      <c r="D115" t="s">
        <v>55</v>
      </c>
      <c r="E115" t="s">
        <v>84</v>
      </c>
      <c r="F115" t="s">
        <v>771</v>
      </c>
      <c r="G115" t="s">
        <v>66</v>
      </c>
      <c r="H115" t="s">
        <v>110</v>
      </c>
      <c r="I115" t="s">
        <v>196</v>
      </c>
      <c r="J115" t="s">
        <v>388</v>
      </c>
      <c r="K115" t="s">
        <v>20</v>
      </c>
      <c r="L115" t="s">
        <v>116</v>
      </c>
    </row>
    <row r="116" spans="1:12" x14ac:dyDescent="0.3">
      <c r="A116">
        <v>1139</v>
      </c>
      <c r="B116" t="s">
        <v>22</v>
      </c>
      <c r="C116">
        <v>22</v>
      </c>
      <c r="D116" t="s">
        <v>659</v>
      </c>
      <c r="E116" t="s">
        <v>84</v>
      </c>
      <c r="F116" t="s">
        <v>772</v>
      </c>
      <c r="G116" t="s">
        <v>16</v>
      </c>
      <c r="H116" t="s">
        <v>37</v>
      </c>
      <c r="I116" t="s">
        <v>390</v>
      </c>
      <c r="J116" t="s">
        <v>391</v>
      </c>
      <c r="K116" t="s">
        <v>60</v>
      </c>
      <c r="L116" t="s">
        <v>78</v>
      </c>
    </row>
    <row r="117" spans="1:12" x14ac:dyDescent="0.3">
      <c r="A117">
        <v>1149</v>
      </c>
      <c r="B117" t="s">
        <v>136</v>
      </c>
      <c r="C117">
        <v>22</v>
      </c>
      <c r="D117" t="s">
        <v>55</v>
      </c>
      <c r="E117" t="s">
        <v>25</v>
      </c>
      <c r="F117" t="s">
        <v>773</v>
      </c>
      <c r="G117" t="s">
        <v>66</v>
      </c>
      <c r="H117" t="s">
        <v>17</v>
      </c>
      <c r="I117" t="s">
        <v>393</v>
      </c>
      <c r="J117" t="s">
        <v>394</v>
      </c>
      <c r="K117" t="s">
        <v>33</v>
      </c>
      <c r="L117" t="s">
        <v>54</v>
      </c>
    </row>
    <row r="118" spans="1:12" x14ac:dyDescent="0.3">
      <c r="A118">
        <v>1473</v>
      </c>
      <c r="B118" t="s">
        <v>163</v>
      </c>
      <c r="C118">
        <v>19</v>
      </c>
      <c r="D118" t="s">
        <v>659</v>
      </c>
      <c r="E118" t="s">
        <v>84</v>
      </c>
      <c r="F118" t="s">
        <v>774</v>
      </c>
      <c r="G118" t="s">
        <v>23</v>
      </c>
      <c r="H118" t="s">
        <v>90</v>
      </c>
      <c r="I118" t="s">
        <v>112</v>
      </c>
      <c r="J118" t="s">
        <v>396</v>
      </c>
      <c r="K118" t="s">
        <v>96</v>
      </c>
      <c r="L118" t="s">
        <v>41</v>
      </c>
    </row>
    <row r="119" spans="1:12" x14ac:dyDescent="0.3">
      <c r="A119">
        <v>1103</v>
      </c>
      <c r="B119" t="s">
        <v>117</v>
      </c>
      <c r="C119">
        <v>23</v>
      </c>
      <c r="D119" t="s">
        <v>24</v>
      </c>
      <c r="E119" t="s">
        <v>156</v>
      </c>
      <c r="F119" t="s">
        <v>775</v>
      </c>
      <c r="G119" t="s">
        <v>27</v>
      </c>
      <c r="H119" t="s">
        <v>76</v>
      </c>
      <c r="I119" t="s">
        <v>30</v>
      </c>
      <c r="J119" t="s">
        <v>398</v>
      </c>
      <c r="K119" t="s">
        <v>60</v>
      </c>
      <c r="L119" t="s">
        <v>116</v>
      </c>
    </row>
    <row r="120" spans="1:12" x14ac:dyDescent="0.3">
      <c r="A120">
        <v>1489</v>
      </c>
      <c r="B120" t="s">
        <v>107</v>
      </c>
      <c r="C120">
        <v>23</v>
      </c>
      <c r="D120" t="s">
        <v>659</v>
      </c>
      <c r="E120" t="s">
        <v>84</v>
      </c>
      <c r="F120" t="s">
        <v>776</v>
      </c>
      <c r="G120" t="s">
        <v>66</v>
      </c>
      <c r="H120" t="s">
        <v>104</v>
      </c>
      <c r="I120" t="s">
        <v>400</v>
      </c>
      <c r="J120" t="s">
        <v>115</v>
      </c>
      <c r="K120" t="s">
        <v>96</v>
      </c>
      <c r="L120" t="s">
        <v>78</v>
      </c>
    </row>
    <row r="121" spans="1:12" x14ac:dyDescent="0.3">
      <c r="A121">
        <v>1354</v>
      </c>
      <c r="B121" t="s">
        <v>22</v>
      </c>
      <c r="C121" t="s">
        <v>97</v>
      </c>
      <c r="D121" t="s">
        <v>24</v>
      </c>
      <c r="E121" t="s">
        <v>156</v>
      </c>
      <c r="F121" t="s">
        <v>777</v>
      </c>
      <c r="G121" t="s">
        <v>50</v>
      </c>
      <c r="H121" t="s">
        <v>37</v>
      </c>
      <c r="I121" t="s">
        <v>77</v>
      </c>
      <c r="J121" t="s">
        <v>247</v>
      </c>
      <c r="K121" t="s">
        <v>96</v>
      </c>
      <c r="L121" t="s">
        <v>41</v>
      </c>
    </row>
    <row r="122" spans="1:12" x14ac:dyDescent="0.3">
      <c r="A122">
        <v>1003</v>
      </c>
      <c r="B122" t="s">
        <v>12</v>
      </c>
      <c r="C122">
        <v>22</v>
      </c>
      <c r="D122" t="s">
        <v>24</v>
      </c>
      <c r="E122" t="s">
        <v>25</v>
      </c>
      <c r="F122" t="s">
        <v>778</v>
      </c>
      <c r="G122" t="s">
        <v>50</v>
      </c>
      <c r="H122" t="s">
        <v>90</v>
      </c>
      <c r="I122" t="s">
        <v>403</v>
      </c>
      <c r="J122" t="s">
        <v>404</v>
      </c>
      <c r="K122" t="s">
        <v>40</v>
      </c>
      <c r="L122" t="s">
        <v>61</v>
      </c>
    </row>
    <row r="123" spans="1:12" x14ac:dyDescent="0.3">
      <c r="A123">
        <v>1395</v>
      </c>
      <c r="B123" t="s">
        <v>120</v>
      </c>
      <c r="D123" t="s">
        <v>24</v>
      </c>
      <c r="E123" t="s">
        <v>25</v>
      </c>
      <c r="F123" t="s">
        <v>779</v>
      </c>
      <c r="G123" t="s">
        <v>141</v>
      </c>
      <c r="H123" t="s">
        <v>142</v>
      </c>
      <c r="I123" t="s">
        <v>406</v>
      </c>
      <c r="J123" t="s">
        <v>407</v>
      </c>
      <c r="K123" t="s">
        <v>33</v>
      </c>
      <c r="L123" t="s">
        <v>31</v>
      </c>
    </row>
    <row r="124" spans="1:12" x14ac:dyDescent="0.3">
      <c r="A124">
        <v>1259</v>
      </c>
      <c r="B124" t="s">
        <v>47</v>
      </c>
      <c r="C124">
        <v>23</v>
      </c>
      <c r="D124" t="s">
        <v>55</v>
      </c>
      <c r="E124" t="s">
        <v>25</v>
      </c>
      <c r="F124" t="s">
        <v>780</v>
      </c>
      <c r="G124" t="s">
        <v>50</v>
      </c>
      <c r="H124" t="s">
        <v>90</v>
      </c>
      <c r="I124" t="s">
        <v>352</v>
      </c>
      <c r="J124" t="s">
        <v>409</v>
      </c>
      <c r="K124" t="s">
        <v>20</v>
      </c>
      <c r="L124" t="s">
        <v>41</v>
      </c>
    </row>
    <row r="125" spans="1:12" x14ac:dyDescent="0.3">
      <c r="A125">
        <v>1243</v>
      </c>
      <c r="B125" t="s">
        <v>163</v>
      </c>
      <c r="C125">
        <v>19</v>
      </c>
      <c r="D125" t="s">
        <v>24</v>
      </c>
      <c r="E125" t="s">
        <v>167</v>
      </c>
      <c r="F125" t="s">
        <v>781</v>
      </c>
      <c r="G125" t="s">
        <v>50</v>
      </c>
      <c r="H125" t="s">
        <v>28</v>
      </c>
      <c r="I125" t="s">
        <v>411</v>
      </c>
      <c r="J125" t="s">
        <v>412</v>
      </c>
      <c r="K125" t="s">
        <v>33</v>
      </c>
      <c r="L125" t="s">
        <v>78</v>
      </c>
    </row>
    <row r="126" spans="1:12" x14ac:dyDescent="0.3">
      <c r="A126">
        <v>1222</v>
      </c>
      <c r="B126" t="s">
        <v>47</v>
      </c>
      <c r="C126">
        <v>18</v>
      </c>
      <c r="D126" t="s">
        <v>55</v>
      </c>
      <c r="E126" t="s">
        <v>167</v>
      </c>
      <c r="F126" t="s">
        <v>782</v>
      </c>
      <c r="G126" t="s">
        <v>36</v>
      </c>
      <c r="H126" t="s">
        <v>104</v>
      </c>
      <c r="I126" t="s">
        <v>282</v>
      </c>
      <c r="J126" t="s">
        <v>414</v>
      </c>
      <c r="K126" t="s">
        <v>20</v>
      </c>
      <c r="L126" t="s">
        <v>78</v>
      </c>
    </row>
    <row r="127" spans="1:12" x14ac:dyDescent="0.3">
      <c r="A127">
        <v>1262</v>
      </c>
      <c r="B127" t="s">
        <v>74</v>
      </c>
      <c r="C127">
        <v>24</v>
      </c>
      <c r="D127" t="s">
        <v>659</v>
      </c>
      <c r="E127" t="s">
        <v>25</v>
      </c>
      <c r="F127" t="s">
        <v>783</v>
      </c>
      <c r="G127" t="s">
        <v>66</v>
      </c>
      <c r="H127" t="s">
        <v>90</v>
      </c>
      <c r="I127" t="s">
        <v>416</v>
      </c>
      <c r="J127" t="s">
        <v>417</v>
      </c>
      <c r="K127" t="s">
        <v>33</v>
      </c>
      <c r="L127" t="s">
        <v>41</v>
      </c>
    </row>
    <row r="128" spans="1:12" x14ac:dyDescent="0.3">
      <c r="A128">
        <v>1265</v>
      </c>
      <c r="B128" t="s">
        <v>74</v>
      </c>
      <c r="C128">
        <v>18</v>
      </c>
      <c r="D128" t="s">
        <v>55</v>
      </c>
      <c r="E128" t="s">
        <v>84</v>
      </c>
      <c r="F128" t="s">
        <v>784</v>
      </c>
      <c r="G128" t="s">
        <v>50</v>
      </c>
      <c r="H128" t="s">
        <v>90</v>
      </c>
      <c r="I128" t="s">
        <v>419</v>
      </c>
      <c r="J128" t="s">
        <v>132</v>
      </c>
      <c r="K128" t="s">
        <v>33</v>
      </c>
      <c r="L128" t="s">
        <v>116</v>
      </c>
    </row>
    <row r="129" spans="1:12" x14ac:dyDescent="0.3">
      <c r="A129">
        <v>1087</v>
      </c>
      <c r="B129" t="s">
        <v>74</v>
      </c>
      <c r="C129">
        <v>22</v>
      </c>
      <c r="D129" t="s">
        <v>55</v>
      </c>
      <c r="E129" t="s">
        <v>84</v>
      </c>
      <c r="F129" t="s">
        <v>785</v>
      </c>
      <c r="G129" t="s">
        <v>50</v>
      </c>
      <c r="H129" t="s">
        <v>28</v>
      </c>
      <c r="I129" t="s">
        <v>154</v>
      </c>
      <c r="J129" t="s">
        <v>73</v>
      </c>
      <c r="K129" t="s">
        <v>53</v>
      </c>
      <c r="L129" t="s">
        <v>31</v>
      </c>
    </row>
    <row r="130" spans="1:12" x14ac:dyDescent="0.3">
      <c r="A130">
        <v>1014</v>
      </c>
      <c r="B130" t="s">
        <v>107</v>
      </c>
      <c r="C130">
        <v>22</v>
      </c>
      <c r="D130" t="s">
        <v>659</v>
      </c>
      <c r="E130" t="s">
        <v>25</v>
      </c>
      <c r="F130" t="s">
        <v>786</v>
      </c>
      <c r="G130" t="s">
        <v>36</v>
      </c>
      <c r="H130" t="s">
        <v>142</v>
      </c>
      <c r="I130" t="s">
        <v>422</v>
      </c>
      <c r="J130" t="s">
        <v>411</v>
      </c>
      <c r="K130" t="s">
        <v>40</v>
      </c>
      <c r="L130" t="s">
        <v>116</v>
      </c>
    </row>
    <row r="131" spans="1:12" x14ac:dyDescent="0.3">
      <c r="A131">
        <v>1486</v>
      </c>
      <c r="B131" t="s">
        <v>47</v>
      </c>
      <c r="C131">
        <v>24</v>
      </c>
      <c r="D131" t="s">
        <v>55</v>
      </c>
      <c r="E131" t="s">
        <v>84</v>
      </c>
      <c r="F131" t="s">
        <v>787</v>
      </c>
      <c r="G131" t="s">
        <v>71</v>
      </c>
      <c r="H131" t="s">
        <v>218</v>
      </c>
      <c r="I131" t="s">
        <v>100</v>
      </c>
      <c r="J131" t="s">
        <v>216</v>
      </c>
      <c r="K131" t="s">
        <v>96</v>
      </c>
      <c r="L131" t="s">
        <v>54</v>
      </c>
    </row>
    <row r="132" spans="1:12" x14ac:dyDescent="0.3">
      <c r="A132">
        <v>1467</v>
      </c>
      <c r="B132" t="s">
        <v>117</v>
      </c>
      <c r="D132" t="s">
        <v>659</v>
      </c>
      <c r="E132" t="s">
        <v>84</v>
      </c>
      <c r="F132" t="s">
        <v>788</v>
      </c>
      <c r="G132" t="s">
        <v>141</v>
      </c>
      <c r="H132" t="s">
        <v>110</v>
      </c>
      <c r="I132" t="s">
        <v>425</v>
      </c>
      <c r="J132" t="s">
        <v>368</v>
      </c>
      <c r="K132" t="s">
        <v>96</v>
      </c>
      <c r="L132" t="s">
        <v>78</v>
      </c>
    </row>
    <row r="133" spans="1:12" x14ac:dyDescent="0.3">
      <c r="A133">
        <v>1377</v>
      </c>
      <c r="B133" t="s">
        <v>47</v>
      </c>
      <c r="C133" t="s">
        <v>23</v>
      </c>
      <c r="D133" t="s">
        <v>55</v>
      </c>
      <c r="E133" t="s">
        <v>167</v>
      </c>
      <c r="F133" t="s">
        <v>789</v>
      </c>
      <c r="G133" t="s">
        <v>141</v>
      </c>
      <c r="H133" t="s">
        <v>130</v>
      </c>
      <c r="I133" t="s">
        <v>427</v>
      </c>
      <c r="J133" t="s">
        <v>428</v>
      </c>
      <c r="K133" t="s">
        <v>20</v>
      </c>
      <c r="L133" t="s">
        <v>21</v>
      </c>
    </row>
    <row r="134" spans="1:12" x14ac:dyDescent="0.3">
      <c r="A134">
        <v>1198</v>
      </c>
      <c r="B134" t="s">
        <v>107</v>
      </c>
      <c r="C134">
        <v>22</v>
      </c>
      <c r="D134" t="s">
        <v>24</v>
      </c>
      <c r="E134" t="s">
        <v>25</v>
      </c>
      <c r="F134" t="s">
        <v>790</v>
      </c>
      <c r="G134" t="s">
        <v>50</v>
      </c>
      <c r="H134" t="s">
        <v>28</v>
      </c>
      <c r="I134" t="s">
        <v>430</v>
      </c>
      <c r="J134" t="s">
        <v>431</v>
      </c>
      <c r="K134" t="s">
        <v>60</v>
      </c>
      <c r="L134" t="s">
        <v>101</v>
      </c>
    </row>
    <row r="135" spans="1:12" x14ac:dyDescent="0.3">
      <c r="A135">
        <v>1140</v>
      </c>
      <c r="B135" t="s">
        <v>163</v>
      </c>
      <c r="C135">
        <v>23</v>
      </c>
      <c r="D135" t="s">
        <v>55</v>
      </c>
      <c r="E135" t="s">
        <v>167</v>
      </c>
      <c r="F135" t="s">
        <v>791</v>
      </c>
      <c r="G135" t="s">
        <v>71</v>
      </c>
      <c r="H135" t="s">
        <v>142</v>
      </c>
      <c r="I135" t="s">
        <v>383</v>
      </c>
      <c r="J135" t="s">
        <v>433</v>
      </c>
      <c r="K135" t="s">
        <v>33</v>
      </c>
      <c r="L135" t="s">
        <v>31</v>
      </c>
    </row>
    <row r="136" spans="1:12" x14ac:dyDescent="0.3">
      <c r="A136">
        <v>1438</v>
      </c>
      <c r="B136" t="s">
        <v>107</v>
      </c>
      <c r="C136">
        <v>21</v>
      </c>
      <c r="D136" t="s">
        <v>24</v>
      </c>
      <c r="E136" t="s">
        <v>84</v>
      </c>
      <c r="F136" t="s">
        <v>792</v>
      </c>
      <c r="G136" t="s">
        <v>66</v>
      </c>
      <c r="H136" t="s">
        <v>130</v>
      </c>
      <c r="I136" t="s">
        <v>247</v>
      </c>
      <c r="J136" t="s">
        <v>435</v>
      </c>
      <c r="K136" t="s">
        <v>20</v>
      </c>
      <c r="L136" t="s">
        <v>78</v>
      </c>
    </row>
    <row r="137" spans="1:12" x14ac:dyDescent="0.3">
      <c r="A137">
        <v>1027</v>
      </c>
      <c r="B137" t="s">
        <v>22</v>
      </c>
      <c r="C137">
        <v>22</v>
      </c>
      <c r="D137" t="s">
        <v>659</v>
      </c>
      <c r="E137" t="s">
        <v>25</v>
      </c>
      <c r="F137" t="s">
        <v>793</v>
      </c>
      <c r="G137" t="s">
        <v>16</v>
      </c>
      <c r="H137" t="s">
        <v>90</v>
      </c>
      <c r="I137" t="s">
        <v>329</v>
      </c>
      <c r="J137" t="s">
        <v>437</v>
      </c>
      <c r="K137" t="s">
        <v>96</v>
      </c>
      <c r="L137" t="s">
        <v>41</v>
      </c>
    </row>
    <row r="138" spans="1:12" x14ac:dyDescent="0.3">
      <c r="A138">
        <v>1294</v>
      </c>
      <c r="B138" t="s">
        <v>163</v>
      </c>
      <c r="C138">
        <v>24</v>
      </c>
      <c r="D138" t="s">
        <v>24</v>
      </c>
      <c r="E138" t="s">
        <v>25</v>
      </c>
      <c r="F138" t="s">
        <v>794</v>
      </c>
      <c r="G138" t="s">
        <v>66</v>
      </c>
      <c r="H138" t="s">
        <v>104</v>
      </c>
      <c r="I138" t="s">
        <v>439</v>
      </c>
      <c r="J138" t="s">
        <v>440</v>
      </c>
      <c r="K138" t="s">
        <v>33</v>
      </c>
      <c r="L138" t="s">
        <v>21</v>
      </c>
    </row>
    <row r="139" spans="1:12" x14ac:dyDescent="0.3">
      <c r="A139">
        <v>1401</v>
      </c>
      <c r="B139" t="s">
        <v>47</v>
      </c>
      <c r="C139" t="s">
        <v>128</v>
      </c>
      <c r="D139" t="s">
        <v>55</v>
      </c>
      <c r="E139" t="s">
        <v>156</v>
      </c>
      <c r="F139" t="s">
        <v>795</v>
      </c>
      <c r="G139" t="s">
        <v>66</v>
      </c>
      <c r="H139" t="s">
        <v>130</v>
      </c>
      <c r="I139" t="s">
        <v>376</v>
      </c>
      <c r="J139" t="s">
        <v>442</v>
      </c>
      <c r="K139" t="s">
        <v>20</v>
      </c>
      <c r="L139" t="s">
        <v>31</v>
      </c>
    </row>
    <row r="140" spans="1:12" x14ac:dyDescent="0.3">
      <c r="A140">
        <v>1445</v>
      </c>
      <c r="B140" t="s">
        <v>22</v>
      </c>
      <c r="C140" t="s">
        <v>128</v>
      </c>
      <c r="D140" t="s">
        <v>24</v>
      </c>
      <c r="E140" t="s">
        <v>84</v>
      </c>
      <c r="F140" t="s">
        <v>796</v>
      </c>
      <c r="G140" t="s">
        <v>66</v>
      </c>
      <c r="H140" t="s">
        <v>17</v>
      </c>
      <c r="I140" t="s">
        <v>444</v>
      </c>
      <c r="J140" t="s">
        <v>132</v>
      </c>
      <c r="K140" t="s">
        <v>60</v>
      </c>
      <c r="L140" t="s">
        <v>21</v>
      </c>
    </row>
    <row r="141" spans="1:12" x14ac:dyDescent="0.3">
      <c r="A141">
        <v>1366</v>
      </c>
      <c r="B141" t="s">
        <v>163</v>
      </c>
      <c r="C141">
        <v>20</v>
      </c>
      <c r="D141" t="s">
        <v>659</v>
      </c>
      <c r="E141" t="s">
        <v>84</v>
      </c>
      <c r="F141" t="s">
        <v>797</v>
      </c>
      <c r="G141" t="s">
        <v>23</v>
      </c>
      <c r="H141" t="s">
        <v>142</v>
      </c>
      <c r="I141" t="s">
        <v>210</v>
      </c>
      <c r="J141" t="s">
        <v>271</v>
      </c>
      <c r="K141" t="s">
        <v>20</v>
      </c>
      <c r="L141" t="s">
        <v>54</v>
      </c>
    </row>
    <row r="142" spans="1:12" x14ac:dyDescent="0.3">
      <c r="A142">
        <v>1330</v>
      </c>
      <c r="B142" t="s">
        <v>107</v>
      </c>
      <c r="C142">
        <v>23</v>
      </c>
      <c r="D142" t="s">
        <v>55</v>
      </c>
      <c r="E142" t="s">
        <v>167</v>
      </c>
      <c r="F142" t="s">
        <v>798</v>
      </c>
      <c r="G142" t="s">
        <v>23</v>
      </c>
      <c r="H142" t="s">
        <v>90</v>
      </c>
      <c r="I142" t="s">
        <v>384</v>
      </c>
      <c r="J142" t="s">
        <v>193</v>
      </c>
      <c r="K142" t="s">
        <v>96</v>
      </c>
      <c r="L142" t="s">
        <v>61</v>
      </c>
    </row>
    <row r="143" spans="1:12" x14ac:dyDescent="0.3">
      <c r="A143">
        <v>1355</v>
      </c>
      <c r="B143" t="s">
        <v>117</v>
      </c>
      <c r="C143">
        <v>20</v>
      </c>
      <c r="D143" t="s">
        <v>55</v>
      </c>
      <c r="E143" t="s">
        <v>84</v>
      </c>
      <c r="F143" t="s">
        <v>799</v>
      </c>
      <c r="G143" t="s">
        <v>71</v>
      </c>
      <c r="H143" t="s">
        <v>218</v>
      </c>
      <c r="I143" t="s">
        <v>448</v>
      </c>
      <c r="J143" t="s">
        <v>449</v>
      </c>
      <c r="K143" t="s">
        <v>53</v>
      </c>
      <c r="L143" t="s">
        <v>101</v>
      </c>
    </row>
    <row r="144" spans="1:12" x14ac:dyDescent="0.3">
      <c r="A144">
        <v>1116</v>
      </c>
      <c r="B144" t="s">
        <v>12</v>
      </c>
      <c r="C144">
        <v>22</v>
      </c>
      <c r="D144" t="s">
        <v>55</v>
      </c>
      <c r="E144" t="s">
        <v>25</v>
      </c>
      <c r="F144" t="s">
        <v>800</v>
      </c>
      <c r="G144" t="s">
        <v>66</v>
      </c>
      <c r="H144" t="s">
        <v>142</v>
      </c>
      <c r="I144" t="s">
        <v>354</v>
      </c>
      <c r="J144" t="s">
        <v>451</v>
      </c>
      <c r="K144" t="s">
        <v>96</v>
      </c>
      <c r="L144" t="s">
        <v>61</v>
      </c>
    </row>
    <row r="145" spans="1:12" x14ac:dyDescent="0.3">
      <c r="A145">
        <v>1099</v>
      </c>
      <c r="B145" t="s">
        <v>163</v>
      </c>
      <c r="D145" t="s">
        <v>24</v>
      </c>
      <c r="E145" t="s">
        <v>156</v>
      </c>
      <c r="F145" t="s">
        <v>801</v>
      </c>
      <c r="G145" t="s">
        <v>50</v>
      </c>
      <c r="H145" t="s">
        <v>37</v>
      </c>
      <c r="I145" t="s">
        <v>453</v>
      </c>
      <c r="J145" t="s">
        <v>352</v>
      </c>
      <c r="K145" t="s">
        <v>20</v>
      </c>
      <c r="L145" t="s">
        <v>101</v>
      </c>
    </row>
    <row r="146" spans="1:12" x14ac:dyDescent="0.3">
      <c r="A146">
        <v>1193</v>
      </c>
      <c r="B146" t="s">
        <v>107</v>
      </c>
      <c r="C146">
        <v>21</v>
      </c>
      <c r="D146" t="s">
        <v>55</v>
      </c>
      <c r="E146" t="s">
        <v>25</v>
      </c>
      <c r="F146" t="s">
        <v>802</v>
      </c>
      <c r="G146" t="s">
        <v>141</v>
      </c>
      <c r="H146" t="s">
        <v>130</v>
      </c>
      <c r="I146" t="s">
        <v>455</v>
      </c>
      <c r="J146" t="s">
        <v>407</v>
      </c>
      <c r="K146" t="s">
        <v>53</v>
      </c>
      <c r="L146" t="s">
        <v>21</v>
      </c>
    </row>
    <row r="147" spans="1:12" x14ac:dyDescent="0.3">
      <c r="A147">
        <v>1303</v>
      </c>
      <c r="B147" t="s">
        <v>120</v>
      </c>
      <c r="C147">
        <v>20</v>
      </c>
      <c r="D147" t="s">
        <v>55</v>
      </c>
      <c r="E147" t="s">
        <v>167</v>
      </c>
      <c r="F147" t="s">
        <v>803</v>
      </c>
      <c r="G147" t="s">
        <v>50</v>
      </c>
      <c r="H147" t="s">
        <v>142</v>
      </c>
      <c r="I147" t="s">
        <v>457</v>
      </c>
      <c r="J147" t="s">
        <v>458</v>
      </c>
      <c r="K147" t="s">
        <v>96</v>
      </c>
      <c r="L147" t="s">
        <v>54</v>
      </c>
    </row>
    <row r="148" spans="1:12" x14ac:dyDescent="0.3">
      <c r="A148">
        <v>1493</v>
      </c>
      <c r="B148" t="s">
        <v>74</v>
      </c>
      <c r="C148" t="s">
        <v>23</v>
      </c>
      <c r="D148" t="s">
        <v>659</v>
      </c>
      <c r="E148" t="s">
        <v>25</v>
      </c>
      <c r="F148" t="s">
        <v>804</v>
      </c>
      <c r="G148" t="s">
        <v>16</v>
      </c>
      <c r="H148" t="s">
        <v>90</v>
      </c>
      <c r="I148" t="s">
        <v>460</v>
      </c>
      <c r="J148" t="s">
        <v>461</v>
      </c>
      <c r="K148" t="s">
        <v>60</v>
      </c>
      <c r="L148" t="s">
        <v>116</v>
      </c>
    </row>
    <row r="149" spans="1:12" x14ac:dyDescent="0.3">
      <c r="A149">
        <v>1016</v>
      </c>
      <c r="B149" t="s">
        <v>120</v>
      </c>
      <c r="C149">
        <v>22</v>
      </c>
      <c r="D149" t="s">
        <v>24</v>
      </c>
      <c r="E149" t="s">
        <v>84</v>
      </c>
      <c r="F149" t="s">
        <v>805</v>
      </c>
      <c r="G149" t="s">
        <v>27</v>
      </c>
      <c r="H149" t="s">
        <v>110</v>
      </c>
      <c r="I149" t="s">
        <v>263</v>
      </c>
      <c r="J149" t="s">
        <v>411</v>
      </c>
      <c r="K149" t="s">
        <v>60</v>
      </c>
      <c r="L149" t="s">
        <v>54</v>
      </c>
    </row>
    <row r="150" spans="1:12" x14ac:dyDescent="0.3">
      <c r="A150">
        <v>1133</v>
      </c>
      <c r="B150" t="s">
        <v>12</v>
      </c>
      <c r="C150" t="s">
        <v>97</v>
      </c>
      <c r="D150" t="s">
        <v>55</v>
      </c>
      <c r="E150" t="s">
        <v>156</v>
      </c>
      <c r="F150" t="s">
        <v>806</v>
      </c>
      <c r="G150" t="s">
        <v>50</v>
      </c>
      <c r="H150" t="s">
        <v>17</v>
      </c>
      <c r="I150" t="s">
        <v>250</v>
      </c>
      <c r="J150" t="s">
        <v>67</v>
      </c>
      <c r="K150" t="s">
        <v>96</v>
      </c>
      <c r="L150" t="s">
        <v>41</v>
      </c>
    </row>
    <row r="151" spans="1:12" x14ac:dyDescent="0.3">
      <c r="A151">
        <v>1360</v>
      </c>
      <c r="B151" t="s">
        <v>47</v>
      </c>
      <c r="C151">
        <v>18</v>
      </c>
      <c r="D151" t="s">
        <v>55</v>
      </c>
      <c r="E151" t="s">
        <v>167</v>
      </c>
      <c r="F151" t="s">
        <v>807</v>
      </c>
      <c r="G151" t="s">
        <v>50</v>
      </c>
      <c r="H151" t="s">
        <v>104</v>
      </c>
      <c r="I151" t="s">
        <v>433</v>
      </c>
      <c r="J151" t="s">
        <v>147</v>
      </c>
      <c r="K151" t="s">
        <v>60</v>
      </c>
      <c r="L151" t="s">
        <v>78</v>
      </c>
    </row>
    <row r="152" spans="1:12" x14ac:dyDescent="0.3">
      <c r="A152">
        <v>1109</v>
      </c>
      <c r="B152" t="s">
        <v>120</v>
      </c>
      <c r="C152">
        <v>24</v>
      </c>
      <c r="D152" t="s">
        <v>24</v>
      </c>
      <c r="E152" t="s">
        <v>84</v>
      </c>
      <c r="F152" t="s">
        <v>808</v>
      </c>
      <c r="G152" t="s">
        <v>50</v>
      </c>
      <c r="H152" t="s">
        <v>142</v>
      </c>
      <c r="I152" t="s">
        <v>466</v>
      </c>
      <c r="J152" t="s">
        <v>467</v>
      </c>
      <c r="K152" t="s">
        <v>53</v>
      </c>
      <c r="L152" t="s">
        <v>21</v>
      </c>
    </row>
    <row r="153" spans="1:12" x14ac:dyDescent="0.3">
      <c r="A153">
        <v>1086</v>
      </c>
      <c r="B153" t="s">
        <v>117</v>
      </c>
      <c r="C153" t="s">
        <v>97</v>
      </c>
      <c r="D153" t="s">
        <v>24</v>
      </c>
      <c r="E153" t="s">
        <v>25</v>
      </c>
      <c r="F153" t="s">
        <v>809</v>
      </c>
      <c r="G153" t="s">
        <v>141</v>
      </c>
      <c r="H153" t="s">
        <v>218</v>
      </c>
      <c r="I153" t="s">
        <v>469</v>
      </c>
      <c r="J153" t="s">
        <v>388</v>
      </c>
      <c r="K153" t="s">
        <v>40</v>
      </c>
      <c r="L153" t="s">
        <v>101</v>
      </c>
    </row>
    <row r="154" spans="1:12" x14ac:dyDescent="0.3">
      <c r="A154">
        <v>1046</v>
      </c>
      <c r="B154" t="s">
        <v>155</v>
      </c>
      <c r="C154" t="s">
        <v>23</v>
      </c>
      <c r="D154" t="s">
        <v>24</v>
      </c>
      <c r="E154" t="s">
        <v>25</v>
      </c>
      <c r="F154" t="s">
        <v>810</v>
      </c>
      <c r="G154" t="s">
        <v>71</v>
      </c>
      <c r="H154" t="s">
        <v>17</v>
      </c>
      <c r="I154" t="s">
        <v>471</v>
      </c>
      <c r="J154" t="s">
        <v>472</v>
      </c>
      <c r="K154" t="s">
        <v>96</v>
      </c>
      <c r="L154" t="s">
        <v>101</v>
      </c>
    </row>
    <row r="155" spans="1:12" x14ac:dyDescent="0.3">
      <c r="A155">
        <v>1271</v>
      </c>
      <c r="B155" t="s">
        <v>74</v>
      </c>
      <c r="C155" t="s">
        <v>97</v>
      </c>
      <c r="D155" t="s">
        <v>55</v>
      </c>
      <c r="E155" t="s">
        <v>84</v>
      </c>
      <c r="F155" t="s">
        <v>811</v>
      </c>
      <c r="G155" t="s">
        <v>36</v>
      </c>
      <c r="H155" t="s">
        <v>28</v>
      </c>
      <c r="I155" t="s">
        <v>474</v>
      </c>
      <c r="J155" t="s">
        <v>317</v>
      </c>
      <c r="K155" t="s">
        <v>20</v>
      </c>
      <c r="L155" t="s">
        <v>101</v>
      </c>
    </row>
    <row r="156" spans="1:12" x14ac:dyDescent="0.3">
      <c r="A156">
        <v>1315</v>
      </c>
      <c r="B156" t="s">
        <v>12</v>
      </c>
      <c r="C156">
        <v>23</v>
      </c>
      <c r="D156" t="s">
        <v>24</v>
      </c>
      <c r="E156" t="s">
        <v>84</v>
      </c>
      <c r="F156" t="s">
        <v>812</v>
      </c>
      <c r="G156" t="s">
        <v>23</v>
      </c>
      <c r="H156" t="s">
        <v>130</v>
      </c>
      <c r="I156" t="s">
        <v>364</v>
      </c>
      <c r="J156" t="s">
        <v>476</v>
      </c>
      <c r="K156" t="s">
        <v>33</v>
      </c>
      <c r="L156" t="s">
        <v>21</v>
      </c>
    </row>
    <row r="157" spans="1:12" x14ac:dyDescent="0.3">
      <c r="A157">
        <v>1296</v>
      </c>
      <c r="B157" t="s">
        <v>107</v>
      </c>
      <c r="C157">
        <v>24</v>
      </c>
      <c r="D157" t="s">
        <v>55</v>
      </c>
      <c r="E157" t="s">
        <v>25</v>
      </c>
      <c r="F157" t="s">
        <v>813</v>
      </c>
      <c r="G157" t="s">
        <v>16</v>
      </c>
      <c r="H157" t="s">
        <v>28</v>
      </c>
      <c r="I157" t="s">
        <v>123</v>
      </c>
      <c r="J157" t="s">
        <v>478</v>
      </c>
      <c r="K157" t="s">
        <v>96</v>
      </c>
      <c r="L157" t="s">
        <v>31</v>
      </c>
    </row>
    <row r="158" spans="1:12" x14ac:dyDescent="0.3">
      <c r="A158">
        <v>1409</v>
      </c>
      <c r="B158" t="s">
        <v>163</v>
      </c>
      <c r="C158">
        <v>23</v>
      </c>
      <c r="D158" t="s">
        <v>659</v>
      </c>
      <c r="E158" t="s">
        <v>25</v>
      </c>
      <c r="F158" t="s">
        <v>814</v>
      </c>
      <c r="G158" t="s">
        <v>50</v>
      </c>
      <c r="H158" t="s">
        <v>110</v>
      </c>
      <c r="I158" t="s">
        <v>480</v>
      </c>
      <c r="J158" t="s">
        <v>481</v>
      </c>
      <c r="K158" t="s">
        <v>33</v>
      </c>
      <c r="L158" t="s">
        <v>61</v>
      </c>
    </row>
    <row r="159" spans="1:12" x14ac:dyDescent="0.3">
      <c r="A159">
        <v>1301</v>
      </c>
      <c r="B159" t="s">
        <v>120</v>
      </c>
      <c r="C159">
        <v>24</v>
      </c>
      <c r="D159" t="s">
        <v>55</v>
      </c>
      <c r="E159" t="s">
        <v>84</v>
      </c>
      <c r="F159" t="s">
        <v>815</v>
      </c>
      <c r="G159" t="s">
        <v>50</v>
      </c>
      <c r="H159" t="s">
        <v>37</v>
      </c>
      <c r="I159" t="s">
        <v>95</v>
      </c>
      <c r="J159" t="s">
        <v>233</v>
      </c>
      <c r="K159" t="s">
        <v>96</v>
      </c>
      <c r="L159" t="s">
        <v>101</v>
      </c>
    </row>
    <row r="160" spans="1:12" x14ac:dyDescent="0.3">
      <c r="A160">
        <v>1433</v>
      </c>
      <c r="B160" t="s">
        <v>120</v>
      </c>
      <c r="C160">
        <v>18</v>
      </c>
      <c r="D160" t="s">
        <v>55</v>
      </c>
      <c r="E160" t="s">
        <v>156</v>
      </c>
      <c r="F160" t="s">
        <v>816</v>
      </c>
      <c r="G160" t="s">
        <v>50</v>
      </c>
      <c r="H160" t="s">
        <v>218</v>
      </c>
      <c r="I160" t="s">
        <v>484</v>
      </c>
      <c r="J160" t="s">
        <v>485</v>
      </c>
      <c r="K160" t="s">
        <v>60</v>
      </c>
      <c r="L160" t="s">
        <v>116</v>
      </c>
    </row>
    <row r="161" spans="1:12" x14ac:dyDescent="0.3">
      <c r="A161">
        <v>1256</v>
      </c>
      <c r="B161" t="s">
        <v>155</v>
      </c>
      <c r="C161">
        <v>22</v>
      </c>
      <c r="D161" t="s">
        <v>659</v>
      </c>
      <c r="E161" t="s">
        <v>156</v>
      </c>
      <c r="F161" t="s">
        <v>817</v>
      </c>
      <c r="G161" t="s">
        <v>50</v>
      </c>
      <c r="H161" t="s">
        <v>218</v>
      </c>
      <c r="I161" t="s">
        <v>487</v>
      </c>
      <c r="J161" t="s">
        <v>488</v>
      </c>
      <c r="K161" t="s">
        <v>60</v>
      </c>
      <c r="L161" t="s">
        <v>54</v>
      </c>
    </row>
    <row r="162" spans="1:12" x14ac:dyDescent="0.3">
      <c r="A162">
        <v>1419</v>
      </c>
      <c r="B162" t="s">
        <v>117</v>
      </c>
      <c r="D162" t="s">
        <v>55</v>
      </c>
      <c r="E162" t="s">
        <v>84</v>
      </c>
      <c r="F162" t="s">
        <v>818</v>
      </c>
      <c r="G162" t="s">
        <v>36</v>
      </c>
      <c r="H162" t="s">
        <v>218</v>
      </c>
      <c r="I162" t="s">
        <v>490</v>
      </c>
      <c r="J162" t="s">
        <v>227</v>
      </c>
      <c r="K162" t="s">
        <v>20</v>
      </c>
      <c r="L162" t="s">
        <v>116</v>
      </c>
    </row>
    <row r="163" spans="1:12" x14ac:dyDescent="0.3">
      <c r="A163">
        <v>1413</v>
      </c>
      <c r="B163" t="s">
        <v>107</v>
      </c>
      <c r="C163">
        <v>22</v>
      </c>
      <c r="D163" t="s">
        <v>55</v>
      </c>
      <c r="E163" t="s">
        <v>84</v>
      </c>
      <c r="F163" t="s">
        <v>819</v>
      </c>
      <c r="G163" t="s">
        <v>16</v>
      </c>
      <c r="H163" t="s">
        <v>142</v>
      </c>
      <c r="I163" t="s">
        <v>492</v>
      </c>
      <c r="J163" t="s">
        <v>493</v>
      </c>
      <c r="K163" t="s">
        <v>53</v>
      </c>
      <c r="L163" t="s">
        <v>54</v>
      </c>
    </row>
    <row r="164" spans="1:12" x14ac:dyDescent="0.3">
      <c r="A164">
        <v>1385</v>
      </c>
      <c r="B164" t="s">
        <v>22</v>
      </c>
      <c r="C164">
        <v>18</v>
      </c>
      <c r="D164" t="s">
        <v>55</v>
      </c>
      <c r="E164" t="s">
        <v>84</v>
      </c>
      <c r="F164" t="s">
        <v>820</v>
      </c>
      <c r="G164" t="s">
        <v>16</v>
      </c>
      <c r="H164" t="s">
        <v>218</v>
      </c>
      <c r="I164" t="s">
        <v>198</v>
      </c>
      <c r="J164" t="s">
        <v>357</v>
      </c>
      <c r="K164" t="s">
        <v>53</v>
      </c>
      <c r="L164" t="s">
        <v>41</v>
      </c>
    </row>
    <row r="165" spans="1:12" x14ac:dyDescent="0.3">
      <c r="A165">
        <v>1467</v>
      </c>
      <c r="B165" t="s">
        <v>163</v>
      </c>
      <c r="C165" t="s">
        <v>128</v>
      </c>
      <c r="D165" t="s">
        <v>55</v>
      </c>
      <c r="E165" t="s">
        <v>167</v>
      </c>
      <c r="F165" t="s">
        <v>821</v>
      </c>
      <c r="G165" t="s">
        <v>27</v>
      </c>
      <c r="H165" t="s">
        <v>17</v>
      </c>
      <c r="I165" t="s">
        <v>496</v>
      </c>
      <c r="J165" t="s">
        <v>277</v>
      </c>
      <c r="K165" t="s">
        <v>96</v>
      </c>
      <c r="L165" t="s">
        <v>41</v>
      </c>
    </row>
    <row r="166" spans="1:12" x14ac:dyDescent="0.3">
      <c r="A166">
        <v>1324</v>
      </c>
      <c r="B166" t="s">
        <v>107</v>
      </c>
      <c r="C166" t="s">
        <v>97</v>
      </c>
      <c r="D166" t="s">
        <v>659</v>
      </c>
      <c r="E166" t="s">
        <v>25</v>
      </c>
      <c r="F166" t="s">
        <v>822</v>
      </c>
      <c r="G166" t="s">
        <v>50</v>
      </c>
      <c r="H166" t="s">
        <v>110</v>
      </c>
      <c r="I166" t="s">
        <v>351</v>
      </c>
      <c r="J166" t="s">
        <v>498</v>
      </c>
      <c r="K166" t="s">
        <v>60</v>
      </c>
      <c r="L166" t="s">
        <v>61</v>
      </c>
    </row>
    <row r="167" spans="1:12" x14ac:dyDescent="0.3">
      <c r="A167">
        <v>1414</v>
      </c>
      <c r="B167" t="s">
        <v>47</v>
      </c>
      <c r="C167">
        <v>18</v>
      </c>
      <c r="D167" t="s">
        <v>55</v>
      </c>
      <c r="E167" t="s">
        <v>167</v>
      </c>
      <c r="F167" t="s">
        <v>823</v>
      </c>
      <c r="G167" t="s">
        <v>66</v>
      </c>
      <c r="H167" t="s">
        <v>76</v>
      </c>
      <c r="I167" t="s">
        <v>471</v>
      </c>
      <c r="J167" t="s">
        <v>255</v>
      </c>
      <c r="K167" t="s">
        <v>53</v>
      </c>
      <c r="L167" t="s">
        <v>31</v>
      </c>
    </row>
    <row r="168" spans="1:12" x14ac:dyDescent="0.3">
      <c r="A168">
        <v>1391</v>
      </c>
      <c r="B168" t="s">
        <v>12</v>
      </c>
      <c r="C168">
        <v>23</v>
      </c>
      <c r="D168" t="s">
        <v>24</v>
      </c>
      <c r="E168" t="s">
        <v>25</v>
      </c>
      <c r="F168" t="s">
        <v>824</v>
      </c>
      <c r="G168" t="s">
        <v>50</v>
      </c>
      <c r="H168" t="s">
        <v>110</v>
      </c>
      <c r="I168" t="s">
        <v>451</v>
      </c>
      <c r="J168" t="s">
        <v>216</v>
      </c>
      <c r="K168" t="s">
        <v>40</v>
      </c>
      <c r="L168" t="s">
        <v>116</v>
      </c>
    </row>
    <row r="169" spans="1:12" x14ac:dyDescent="0.3">
      <c r="A169">
        <v>1349</v>
      </c>
      <c r="B169" t="s">
        <v>117</v>
      </c>
      <c r="C169">
        <v>24</v>
      </c>
      <c r="D169" t="s">
        <v>659</v>
      </c>
      <c r="E169" t="s">
        <v>84</v>
      </c>
      <c r="F169" t="s">
        <v>825</v>
      </c>
      <c r="G169" t="s">
        <v>66</v>
      </c>
      <c r="H169" t="s">
        <v>218</v>
      </c>
      <c r="I169" t="s">
        <v>502</v>
      </c>
      <c r="J169" t="s">
        <v>300</v>
      </c>
      <c r="K169" t="s">
        <v>60</v>
      </c>
      <c r="L169" t="s">
        <v>21</v>
      </c>
    </row>
    <row r="170" spans="1:12" x14ac:dyDescent="0.3">
      <c r="A170">
        <v>1486</v>
      </c>
      <c r="B170" t="s">
        <v>136</v>
      </c>
      <c r="C170">
        <v>24</v>
      </c>
      <c r="D170" t="s">
        <v>55</v>
      </c>
      <c r="E170" t="s">
        <v>25</v>
      </c>
      <c r="F170" t="s">
        <v>826</v>
      </c>
      <c r="G170" t="s">
        <v>141</v>
      </c>
      <c r="H170" t="s">
        <v>37</v>
      </c>
      <c r="I170" t="s">
        <v>504</v>
      </c>
      <c r="J170" t="s">
        <v>242</v>
      </c>
      <c r="K170" t="s">
        <v>53</v>
      </c>
      <c r="L170" t="s">
        <v>41</v>
      </c>
    </row>
    <row r="171" spans="1:12" x14ac:dyDescent="0.3">
      <c r="A171">
        <v>1060</v>
      </c>
      <c r="B171" t="s">
        <v>12</v>
      </c>
      <c r="C171" t="s">
        <v>97</v>
      </c>
      <c r="D171" t="s">
        <v>24</v>
      </c>
      <c r="E171" t="s">
        <v>167</v>
      </c>
      <c r="F171" t="s">
        <v>827</v>
      </c>
      <c r="G171" t="s">
        <v>50</v>
      </c>
      <c r="H171" t="s">
        <v>130</v>
      </c>
      <c r="I171" t="s">
        <v>506</v>
      </c>
      <c r="J171" t="s">
        <v>507</v>
      </c>
      <c r="K171" t="s">
        <v>60</v>
      </c>
      <c r="L171" t="s">
        <v>54</v>
      </c>
    </row>
    <row r="172" spans="1:12" x14ac:dyDescent="0.3">
      <c r="A172">
        <v>1321</v>
      </c>
      <c r="B172" t="s">
        <v>74</v>
      </c>
      <c r="C172" t="s">
        <v>97</v>
      </c>
      <c r="D172" t="s">
        <v>24</v>
      </c>
      <c r="E172" t="s">
        <v>167</v>
      </c>
      <c r="F172" t="s">
        <v>828</v>
      </c>
      <c r="G172" t="s">
        <v>16</v>
      </c>
      <c r="H172" t="s">
        <v>218</v>
      </c>
      <c r="I172" t="s">
        <v>269</v>
      </c>
      <c r="J172" t="s">
        <v>210</v>
      </c>
      <c r="K172" t="s">
        <v>53</v>
      </c>
      <c r="L172" t="s">
        <v>41</v>
      </c>
    </row>
    <row r="173" spans="1:12" x14ac:dyDescent="0.3">
      <c r="A173">
        <v>1372</v>
      </c>
      <c r="B173" t="s">
        <v>163</v>
      </c>
      <c r="C173">
        <v>22</v>
      </c>
      <c r="D173" t="s">
        <v>24</v>
      </c>
      <c r="E173" t="s">
        <v>84</v>
      </c>
      <c r="F173" t="s">
        <v>829</v>
      </c>
      <c r="G173" t="s">
        <v>50</v>
      </c>
      <c r="H173" t="s">
        <v>130</v>
      </c>
      <c r="I173" t="s">
        <v>510</v>
      </c>
      <c r="J173" t="s">
        <v>511</v>
      </c>
      <c r="K173" t="s">
        <v>60</v>
      </c>
      <c r="L173" t="s">
        <v>21</v>
      </c>
    </row>
    <row r="174" spans="1:12" x14ac:dyDescent="0.3">
      <c r="A174">
        <v>1254</v>
      </c>
      <c r="B174" t="s">
        <v>117</v>
      </c>
      <c r="C174">
        <v>22</v>
      </c>
      <c r="D174" t="s">
        <v>55</v>
      </c>
      <c r="E174" t="s">
        <v>167</v>
      </c>
      <c r="F174" t="s">
        <v>830</v>
      </c>
      <c r="G174" t="s">
        <v>36</v>
      </c>
      <c r="H174" t="s">
        <v>37</v>
      </c>
      <c r="I174" t="s">
        <v>474</v>
      </c>
      <c r="J174" t="s">
        <v>513</v>
      </c>
      <c r="K174" t="s">
        <v>96</v>
      </c>
      <c r="L174" t="s">
        <v>41</v>
      </c>
    </row>
    <row r="175" spans="1:12" x14ac:dyDescent="0.3">
      <c r="A175">
        <v>1460</v>
      </c>
      <c r="B175" t="s">
        <v>120</v>
      </c>
      <c r="C175">
        <v>18</v>
      </c>
      <c r="D175" t="s">
        <v>24</v>
      </c>
      <c r="E175" t="s">
        <v>156</v>
      </c>
      <c r="F175" t="s">
        <v>831</v>
      </c>
      <c r="G175" t="s">
        <v>141</v>
      </c>
      <c r="H175" t="s">
        <v>142</v>
      </c>
      <c r="I175" t="s">
        <v>261</v>
      </c>
      <c r="J175" t="s">
        <v>455</v>
      </c>
      <c r="K175" t="s">
        <v>33</v>
      </c>
      <c r="L175" t="s">
        <v>78</v>
      </c>
    </row>
    <row r="176" spans="1:12" x14ac:dyDescent="0.3">
      <c r="A176">
        <v>1323</v>
      </c>
      <c r="B176" t="s">
        <v>47</v>
      </c>
      <c r="C176">
        <v>19</v>
      </c>
      <c r="D176" t="s">
        <v>55</v>
      </c>
      <c r="E176" t="s">
        <v>156</v>
      </c>
      <c r="F176" t="s">
        <v>832</v>
      </c>
      <c r="G176" t="s">
        <v>23</v>
      </c>
      <c r="H176" t="s">
        <v>28</v>
      </c>
      <c r="I176" t="s">
        <v>516</v>
      </c>
      <c r="J176" t="s">
        <v>517</v>
      </c>
      <c r="K176" t="s">
        <v>53</v>
      </c>
      <c r="L176" t="s">
        <v>78</v>
      </c>
    </row>
    <row r="177" spans="1:12" x14ac:dyDescent="0.3">
      <c r="A177">
        <v>1300</v>
      </c>
      <c r="B177" t="s">
        <v>163</v>
      </c>
      <c r="C177">
        <v>22</v>
      </c>
      <c r="D177" t="s">
        <v>659</v>
      </c>
      <c r="E177" t="s">
        <v>25</v>
      </c>
      <c r="F177" t="s">
        <v>833</v>
      </c>
      <c r="G177" t="s">
        <v>27</v>
      </c>
      <c r="H177" t="s">
        <v>17</v>
      </c>
      <c r="I177" t="s">
        <v>419</v>
      </c>
      <c r="J177" t="s">
        <v>519</v>
      </c>
      <c r="K177" t="s">
        <v>53</v>
      </c>
      <c r="L177" t="s">
        <v>116</v>
      </c>
    </row>
    <row r="178" spans="1:12" x14ac:dyDescent="0.3">
      <c r="A178">
        <v>1307</v>
      </c>
      <c r="B178" t="s">
        <v>47</v>
      </c>
      <c r="C178">
        <v>18</v>
      </c>
      <c r="D178" t="s">
        <v>24</v>
      </c>
      <c r="E178" t="s">
        <v>156</v>
      </c>
      <c r="F178" t="s">
        <v>834</v>
      </c>
      <c r="G178" t="s">
        <v>50</v>
      </c>
      <c r="H178" t="s">
        <v>17</v>
      </c>
      <c r="I178" t="s">
        <v>166</v>
      </c>
      <c r="J178" t="s">
        <v>162</v>
      </c>
      <c r="K178" t="s">
        <v>60</v>
      </c>
      <c r="L178" t="s">
        <v>78</v>
      </c>
    </row>
    <row r="179" spans="1:12" x14ac:dyDescent="0.3">
      <c r="A179">
        <v>1135</v>
      </c>
      <c r="B179" t="s">
        <v>120</v>
      </c>
      <c r="C179">
        <v>25</v>
      </c>
      <c r="D179" t="s">
        <v>55</v>
      </c>
      <c r="E179" t="s">
        <v>25</v>
      </c>
      <c r="F179" t="s">
        <v>835</v>
      </c>
      <c r="G179" t="s">
        <v>16</v>
      </c>
      <c r="H179" t="s">
        <v>130</v>
      </c>
      <c r="I179" t="s">
        <v>269</v>
      </c>
      <c r="J179" t="s">
        <v>83</v>
      </c>
      <c r="K179" t="s">
        <v>96</v>
      </c>
      <c r="L179" t="s">
        <v>78</v>
      </c>
    </row>
    <row r="180" spans="1:12" x14ac:dyDescent="0.3">
      <c r="A180">
        <v>1486</v>
      </c>
      <c r="B180" t="s">
        <v>22</v>
      </c>
      <c r="C180" t="s">
        <v>128</v>
      </c>
      <c r="D180" t="s">
        <v>24</v>
      </c>
      <c r="E180" t="s">
        <v>84</v>
      </c>
      <c r="F180" t="s">
        <v>836</v>
      </c>
      <c r="G180" t="s">
        <v>27</v>
      </c>
      <c r="H180" t="s">
        <v>110</v>
      </c>
      <c r="I180" t="s">
        <v>213</v>
      </c>
      <c r="J180" t="s">
        <v>523</v>
      </c>
      <c r="K180" t="s">
        <v>33</v>
      </c>
      <c r="L180" t="s">
        <v>61</v>
      </c>
    </row>
    <row r="181" spans="1:12" x14ac:dyDescent="0.3">
      <c r="A181">
        <v>1088</v>
      </c>
      <c r="B181" t="s">
        <v>107</v>
      </c>
      <c r="C181">
        <v>23</v>
      </c>
      <c r="D181" t="s">
        <v>55</v>
      </c>
      <c r="E181" t="s">
        <v>167</v>
      </c>
      <c r="F181" t="s">
        <v>837</v>
      </c>
      <c r="G181" t="s">
        <v>141</v>
      </c>
      <c r="H181" t="s">
        <v>17</v>
      </c>
      <c r="I181" t="s">
        <v>245</v>
      </c>
      <c r="J181" t="s">
        <v>525</v>
      </c>
      <c r="K181" t="s">
        <v>96</v>
      </c>
      <c r="L181" t="s">
        <v>31</v>
      </c>
    </row>
    <row r="182" spans="1:12" x14ac:dyDescent="0.3">
      <c r="A182">
        <v>1454</v>
      </c>
      <c r="B182" t="s">
        <v>163</v>
      </c>
      <c r="C182">
        <v>22</v>
      </c>
      <c r="D182" t="s">
        <v>24</v>
      </c>
      <c r="E182" t="s">
        <v>25</v>
      </c>
      <c r="F182" t="s">
        <v>838</v>
      </c>
      <c r="G182" t="s">
        <v>141</v>
      </c>
      <c r="H182" t="s">
        <v>110</v>
      </c>
      <c r="I182" t="s">
        <v>170</v>
      </c>
      <c r="J182" t="s">
        <v>527</v>
      </c>
      <c r="K182" t="s">
        <v>20</v>
      </c>
      <c r="L182" t="s">
        <v>21</v>
      </c>
    </row>
    <row r="183" spans="1:12" x14ac:dyDescent="0.3">
      <c r="A183">
        <v>1141</v>
      </c>
      <c r="B183" t="s">
        <v>136</v>
      </c>
      <c r="C183">
        <v>25</v>
      </c>
      <c r="D183" t="s">
        <v>55</v>
      </c>
      <c r="E183" t="s">
        <v>25</v>
      </c>
      <c r="F183" t="s">
        <v>839</v>
      </c>
      <c r="G183" t="s">
        <v>50</v>
      </c>
      <c r="H183" t="s">
        <v>37</v>
      </c>
      <c r="I183" t="s">
        <v>198</v>
      </c>
      <c r="J183" t="s">
        <v>274</v>
      </c>
      <c r="K183" t="s">
        <v>20</v>
      </c>
      <c r="L183" t="s">
        <v>41</v>
      </c>
    </row>
    <row r="184" spans="1:12" x14ac:dyDescent="0.3">
      <c r="A184">
        <v>1412</v>
      </c>
      <c r="B184" t="s">
        <v>47</v>
      </c>
      <c r="C184">
        <v>20</v>
      </c>
      <c r="D184" t="s">
        <v>55</v>
      </c>
      <c r="E184" t="s">
        <v>84</v>
      </c>
      <c r="F184" t="s">
        <v>840</v>
      </c>
      <c r="G184" t="s">
        <v>23</v>
      </c>
      <c r="H184" t="s">
        <v>104</v>
      </c>
      <c r="I184" t="s">
        <v>38</v>
      </c>
      <c r="J184" t="s">
        <v>530</v>
      </c>
      <c r="K184" t="s">
        <v>33</v>
      </c>
      <c r="L184" t="s">
        <v>116</v>
      </c>
    </row>
    <row r="185" spans="1:12" x14ac:dyDescent="0.3">
      <c r="A185">
        <v>1364</v>
      </c>
      <c r="B185" t="s">
        <v>155</v>
      </c>
      <c r="C185">
        <v>21</v>
      </c>
      <c r="D185" t="s">
        <v>24</v>
      </c>
      <c r="E185" t="s">
        <v>84</v>
      </c>
      <c r="F185" t="s">
        <v>841</v>
      </c>
      <c r="G185" t="s">
        <v>27</v>
      </c>
      <c r="H185" t="s">
        <v>110</v>
      </c>
      <c r="I185" t="s">
        <v>435</v>
      </c>
      <c r="J185" t="s">
        <v>111</v>
      </c>
      <c r="K185" t="s">
        <v>33</v>
      </c>
      <c r="L185" t="s">
        <v>101</v>
      </c>
    </row>
    <row r="186" spans="1:12" x14ac:dyDescent="0.3">
      <c r="A186">
        <v>1319</v>
      </c>
      <c r="B186" t="s">
        <v>155</v>
      </c>
      <c r="C186">
        <v>23</v>
      </c>
      <c r="D186" t="s">
        <v>55</v>
      </c>
      <c r="E186" t="s">
        <v>156</v>
      </c>
      <c r="F186" t="s">
        <v>842</v>
      </c>
      <c r="G186" t="s">
        <v>66</v>
      </c>
      <c r="H186" t="s">
        <v>142</v>
      </c>
      <c r="I186" t="s">
        <v>323</v>
      </c>
      <c r="J186" t="s">
        <v>533</v>
      </c>
      <c r="K186" t="s">
        <v>33</v>
      </c>
      <c r="L186" t="s">
        <v>54</v>
      </c>
    </row>
    <row r="187" spans="1:12" x14ac:dyDescent="0.3">
      <c r="A187">
        <v>1340</v>
      </c>
      <c r="B187" t="s">
        <v>120</v>
      </c>
      <c r="C187">
        <v>23</v>
      </c>
      <c r="D187" t="s">
        <v>659</v>
      </c>
      <c r="E187" t="s">
        <v>84</v>
      </c>
      <c r="F187" t="s">
        <v>843</v>
      </c>
      <c r="G187" t="s">
        <v>50</v>
      </c>
      <c r="H187" t="s">
        <v>28</v>
      </c>
      <c r="I187" t="s">
        <v>535</v>
      </c>
      <c r="J187" t="s">
        <v>536</v>
      </c>
      <c r="K187" t="s">
        <v>33</v>
      </c>
      <c r="L187" t="s">
        <v>101</v>
      </c>
    </row>
    <row r="188" spans="1:12" x14ac:dyDescent="0.3">
      <c r="A188">
        <v>1420</v>
      </c>
      <c r="B188" t="s">
        <v>155</v>
      </c>
      <c r="C188">
        <v>22</v>
      </c>
      <c r="D188" t="s">
        <v>55</v>
      </c>
      <c r="E188" t="s">
        <v>84</v>
      </c>
      <c r="F188" t="s">
        <v>844</v>
      </c>
      <c r="G188" t="s">
        <v>36</v>
      </c>
      <c r="H188" t="s">
        <v>17</v>
      </c>
      <c r="I188" t="s">
        <v>538</v>
      </c>
      <c r="J188" t="s">
        <v>539</v>
      </c>
      <c r="K188" t="s">
        <v>40</v>
      </c>
      <c r="L188" t="s">
        <v>31</v>
      </c>
    </row>
    <row r="189" spans="1:12" x14ac:dyDescent="0.3">
      <c r="A189">
        <v>1119</v>
      </c>
      <c r="B189" t="s">
        <v>32</v>
      </c>
      <c r="C189">
        <v>20</v>
      </c>
      <c r="D189" t="s">
        <v>659</v>
      </c>
      <c r="E189" t="s">
        <v>25</v>
      </c>
      <c r="F189" t="s">
        <v>845</v>
      </c>
      <c r="G189" t="s">
        <v>16</v>
      </c>
      <c r="H189" t="s">
        <v>218</v>
      </c>
      <c r="I189" t="s">
        <v>541</v>
      </c>
      <c r="J189" t="s">
        <v>542</v>
      </c>
      <c r="K189" t="s">
        <v>20</v>
      </c>
      <c r="L189" t="s">
        <v>31</v>
      </c>
    </row>
    <row r="190" spans="1:12" x14ac:dyDescent="0.3">
      <c r="A190">
        <v>1496</v>
      </c>
      <c r="B190" t="s">
        <v>12</v>
      </c>
      <c r="C190">
        <v>24</v>
      </c>
      <c r="D190" t="s">
        <v>55</v>
      </c>
      <c r="E190" t="s">
        <v>25</v>
      </c>
      <c r="F190" t="s">
        <v>846</v>
      </c>
      <c r="G190" t="s">
        <v>36</v>
      </c>
      <c r="H190" t="s">
        <v>104</v>
      </c>
      <c r="I190" t="s">
        <v>544</v>
      </c>
      <c r="J190" t="s">
        <v>545</v>
      </c>
      <c r="K190" t="s">
        <v>53</v>
      </c>
      <c r="L190" t="s">
        <v>61</v>
      </c>
    </row>
    <row r="191" spans="1:12" x14ac:dyDescent="0.3">
      <c r="A191">
        <v>1480</v>
      </c>
      <c r="B191" t="s">
        <v>120</v>
      </c>
      <c r="C191">
        <v>22</v>
      </c>
      <c r="D191" t="s">
        <v>55</v>
      </c>
      <c r="E191" t="s">
        <v>156</v>
      </c>
      <c r="F191" t="s">
        <v>847</v>
      </c>
      <c r="G191" t="s">
        <v>141</v>
      </c>
      <c r="H191" t="s">
        <v>28</v>
      </c>
      <c r="I191" t="s">
        <v>547</v>
      </c>
      <c r="J191" t="s">
        <v>548</v>
      </c>
      <c r="K191" t="s">
        <v>60</v>
      </c>
      <c r="L191" t="s">
        <v>21</v>
      </c>
    </row>
    <row r="192" spans="1:12" x14ac:dyDescent="0.3">
      <c r="A192">
        <v>1377</v>
      </c>
      <c r="B192" t="s">
        <v>155</v>
      </c>
      <c r="C192">
        <v>25</v>
      </c>
      <c r="D192" t="s">
        <v>55</v>
      </c>
      <c r="E192" t="s">
        <v>25</v>
      </c>
      <c r="F192" t="s">
        <v>848</v>
      </c>
      <c r="G192" t="s">
        <v>36</v>
      </c>
      <c r="H192" t="s">
        <v>110</v>
      </c>
      <c r="I192" t="s">
        <v>550</v>
      </c>
      <c r="J192" t="s">
        <v>551</v>
      </c>
      <c r="K192" t="s">
        <v>40</v>
      </c>
      <c r="L192" t="s">
        <v>31</v>
      </c>
    </row>
    <row r="193" spans="1:12" x14ac:dyDescent="0.3">
      <c r="A193">
        <v>1424</v>
      </c>
      <c r="B193" t="s">
        <v>74</v>
      </c>
      <c r="C193">
        <v>22</v>
      </c>
      <c r="D193" t="s">
        <v>659</v>
      </c>
      <c r="E193" t="s">
        <v>167</v>
      </c>
      <c r="F193" t="s">
        <v>849</v>
      </c>
      <c r="G193" t="s">
        <v>27</v>
      </c>
      <c r="H193" t="s">
        <v>90</v>
      </c>
      <c r="I193" t="s">
        <v>91</v>
      </c>
      <c r="J193" t="s">
        <v>272</v>
      </c>
      <c r="K193" t="s">
        <v>20</v>
      </c>
      <c r="L193" t="s">
        <v>116</v>
      </c>
    </row>
    <row r="194" spans="1:12" x14ac:dyDescent="0.3">
      <c r="A194">
        <v>1472</v>
      </c>
      <c r="B194" t="s">
        <v>22</v>
      </c>
      <c r="C194">
        <v>22</v>
      </c>
      <c r="D194" t="s">
        <v>659</v>
      </c>
      <c r="E194" t="s">
        <v>84</v>
      </c>
      <c r="F194" t="s">
        <v>850</v>
      </c>
      <c r="G194" t="s">
        <v>141</v>
      </c>
      <c r="H194" t="s">
        <v>130</v>
      </c>
      <c r="I194" t="s">
        <v>193</v>
      </c>
      <c r="J194" t="s">
        <v>161</v>
      </c>
      <c r="K194" t="s">
        <v>20</v>
      </c>
      <c r="L194" t="s">
        <v>78</v>
      </c>
    </row>
    <row r="195" spans="1:12" x14ac:dyDescent="0.3">
      <c r="A195">
        <v>1372</v>
      </c>
      <c r="B195" t="s">
        <v>120</v>
      </c>
      <c r="D195" t="s">
        <v>24</v>
      </c>
      <c r="E195" t="s">
        <v>25</v>
      </c>
      <c r="F195" t="s">
        <v>851</v>
      </c>
      <c r="G195" t="s">
        <v>36</v>
      </c>
      <c r="H195" t="s">
        <v>104</v>
      </c>
      <c r="I195" t="s">
        <v>555</v>
      </c>
      <c r="J195" t="s">
        <v>556</v>
      </c>
      <c r="K195" t="s">
        <v>40</v>
      </c>
      <c r="L195" t="s">
        <v>78</v>
      </c>
    </row>
    <row r="196" spans="1:12" x14ac:dyDescent="0.3">
      <c r="A196">
        <v>1250</v>
      </c>
      <c r="B196" t="s">
        <v>47</v>
      </c>
      <c r="C196" t="s">
        <v>23</v>
      </c>
      <c r="D196" t="s">
        <v>24</v>
      </c>
      <c r="E196" t="s">
        <v>25</v>
      </c>
      <c r="F196" t="s">
        <v>852</v>
      </c>
      <c r="G196" t="s">
        <v>71</v>
      </c>
      <c r="H196" t="s">
        <v>218</v>
      </c>
      <c r="I196" t="s">
        <v>165</v>
      </c>
      <c r="J196" t="s">
        <v>308</v>
      </c>
      <c r="K196" t="s">
        <v>33</v>
      </c>
      <c r="L196" t="s">
        <v>54</v>
      </c>
    </row>
    <row r="197" spans="1:12" x14ac:dyDescent="0.3">
      <c r="A197">
        <v>1447</v>
      </c>
      <c r="B197" t="s">
        <v>22</v>
      </c>
      <c r="C197">
        <v>22</v>
      </c>
      <c r="D197" t="s">
        <v>24</v>
      </c>
      <c r="E197" t="s">
        <v>25</v>
      </c>
      <c r="F197" t="s">
        <v>853</v>
      </c>
      <c r="G197" t="s">
        <v>27</v>
      </c>
      <c r="H197" t="s">
        <v>90</v>
      </c>
      <c r="I197" t="s">
        <v>559</v>
      </c>
      <c r="J197" t="s">
        <v>560</v>
      </c>
      <c r="K197" t="s">
        <v>33</v>
      </c>
      <c r="L197" t="s">
        <v>61</v>
      </c>
    </row>
    <row r="198" spans="1:12" x14ac:dyDescent="0.3">
      <c r="A198">
        <v>1058</v>
      </c>
      <c r="B198" t="s">
        <v>32</v>
      </c>
      <c r="C198">
        <v>24</v>
      </c>
      <c r="D198" t="s">
        <v>24</v>
      </c>
      <c r="E198" t="s">
        <v>25</v>
      </c>
      <c r="F198" t="s">
        <v>854</v>
      </c>
      <c r="G198" t="s">
        <v>16</v>
      </c>
      <c r="H198" t="s">
        <v>104</v>
      </c>
      <c r="I198" t="s">
        <v>542</v>
      </c>
      <c r="J198" t="s">
        <v>562</v>
      </c>
      <c r="K198" t="s">
        <v>20</v>
      </c>
      <c r="L198" t="s">
        <v>101</v>
      </c>
    </row>
    <row r="199" spans="1:12" x14ac:dyDescent="0.3">
      <c r="A199">
        <v>1493</v>
      </c>
      <c r="B199" t="s">
        <v>74</v>
      </c>
      <c r="C199">
        <v>23</v>
      </c>
      <c r="D199" t="s">
        <v>659</v>
      </c>
      <c r="E199" t="s">
        <v>25</v>
      </c>
      <c r="F199" t="s">
        <v>855</v>
      </c>
      <c r="G199" t="s">
        <v>27</v>
      </c>
      <c r="H199" t="s">
        <v>104</v>
      </c>
      <c r="I199" t="s">
        <v>383</v>
      </c>
      <c r="J199" t="s">
        <v>414</v>
      </c>
      <c r="K199" t="s">
        <v>20</v>
      </c>
      <c r="L199" t="s">
        <v>61</v>
      </c>
    </row>
    <row r="200" spans="1:12" x14ac:dyDescent="0.3">
      <c r="A200">
        <v>1077</v>
      </c>
      <c r="B200" t="s">
        <v>120</v>
      </c>
      <c r="C200">
        <v>25</v>
      </c>
      <c r="D200" t="s">
        <v>24</v>
      </c>
      <c r="E200" t="s">
        <v>156</v>
      </c>
      <c r="F200" t="s">
        <v>856</v>
      </c>
      <c r="G200" t="s">
        <v>71</v>
      </c>
      <c r="H200" t="s">
        <v>110</v>
      </c>
      <c r="I200" t="s">
        <v>362</v>
      </c>
      <c r="J200" t="s">
        <v>38</v>
      </c>
      <c r="K200" t="s">
        <v>20</v>
      </c>
      <c r="L200" t="s">
        <v>78</v>
      </c>
    </row>
    <row r="201" spans="1:12" x14ac:dyDescent="0.3">
      <c r="A201">
        <v>1008</v>
      </c>
      <c r="B201" t="s">
        <v>12</v>
      </c>
      <c r="C201">
        <v>21</v>
      </c>
      <c r="D201" t="s">
        <v>24</v>
      </c>
      <c r="E201" t="s">
        <v>156</v>
      </c>
      <c r="F201" t="s">
        <v>857</v>
      </c>
      <c r="G201" t="s">
        <v>36</v>
      </c>
      <c r="H201" t="s">
        <v>37</v>
      </c>
      <c r="I201" t="s">
        <v>566</v>
      </c>
      <c r="J201" t="s">
        <v>213</v>
      </c>
      <c r="K201" t="s">
        <v>40</v>
      </c>
      <c r="L201" t="s">
        <v>116</v>
      </c>
    </row>
    <row r="202" spans="1:12" x14ac:dyDescent="0.3">
      <c r="A202">
        <v>1206</v>
      </c>
      <c r="B202" t="s">
        <v>32</v>
      </c>
      <c r="C202">
        <v>22</v>
      </c>
      <c r="D202" t="s">
        <v>24</v>
      </c>
      <c r="E202" t="s">
        <v>25</v>
      </c>
      <c r="F202" t="s">
        <v>858</v>
      </c>
      <c r="G202" t="s">
        <v>66</v>
      </c>
      <c r="H202" t="s">
        <v>90</v>
      </c>
      <c r="I202" t="s">
        <v>568</v>
      </c>
      <c r="J202" t="s">
        <v>527</v>
      </c>
      <c r="K202" t="s">
        <v>33</v>
      </c>
      <c r="L202" t="s">
        <v>78</v>
      </c>
    </row>
    <row r="203" spans="1:12" x14ac:dyDescent="0.3">
      <c r="A203">
        <v>1390</v>
      </c>
      <c r="B203" t="s">
        <v>107</v>
      </c>
      <c r="C203" t="s">
        <v>23</v>
      </c>
      <c r="D203" t="s">
        <v>24</v>
      </c>
      <c r="E203" t="s">
        <v>25</v>
      </c>
      <c r="F203" t="s">
        <v>859</v>
      </c>
      <c r="G203" t="s">
        <v>27</v>
      </c>
      <c r="H203" t="s">
        <v>28</v>
      </c>
      <c r="I203" t="s">
        <v>158</v>
      </c>
      <c r="J203" t="s">
        <v>277</v>
      </c>
      <c r="K203" t="s">
        <v>53</v>
      </c>
      <c r="L203" t="s">
        <v>101</v>
      </c>
    </row>
    <row r="204" spans="1:12" x14ac:dyDescent="0.3">
      <c r="A204">
        <v>1065</v>
      </c>
      <c r="B204" t="s">
        <v>32</v>
      </c>
      <c r="C204">
        <v>19</v>
      </c>
      <c r="D204" t="s">
        <v>659</v>
      </c>
      <c r="E204" t="s">
        <v>167</v>
      </c>
      <c r="F204" t="s">
        <v>860</v>
      </c>
      <c r="G204" t="s">
        <v>36</v>
      </c>
      <c r="H204" t="s">
        <v>218</v>
      </c>
      <c r="I204" t="s">
        <v>571</v>
      </c>
      <c r="J204" t="s">
        <v>288</v>
      </c>
      <c r="K204" t="s">
        <v>40</v>
      </c>
      <c r="L204" t="s">
        <v>78</v>
      </c>
    </row>
    <row r="205" spans="1:12" x14ac:dyDescent="0.3">
      <c r="A205">
        <v>1222</v>
      </c>
      <c r="B205" t="s">
        <v>136</v>
      </c>
      <c r="C205">
        <v>21</v>
      </c>
      <c r="D205" t="s">
        <v>55</v>
      </c>
      <c r="E205" t="s">
        <v>167</v>
      </c>
      <c r="F205" t="s">
        <v>861</v>
      </c>
      <c r="G205" t="s">
        <v>16</v>
      </c>
      <c r="H205" t="s">
        <v>110</v>
      </c>
      <c r="I205" t="s">
        <v>573</v>
      </c>
      <c r="J205" t="s">
        <v>58</v>
      </c>
      <c r="K205" t="s">
        <v>40</v>
      </c>
      <c r="L205" t="s">
        <v>116</v>
      </c>
    </row>
    <row r="206" spans="1:12" x14ac:dyDescent="0.3">
      <c r="A206">
        <v>1198</v>
      </c>
      <c r="B206" t="s">
        <v>117</v>
      </c>
      <c r="C206">
        <v>22</v>
      </c>
      <c r="D206" t="s">
        <v>55</v>
      </c>
      <c r="E206" t="s">
        <v>156</v>
      </c>
      <c r="F206" t="s">
        <v>862</v>
      </c>
      <c r="G206" t="s">
        <v>50</v>
      </c>
      <c r="H206" t="s">
        <v>90</v>
      </c>
      <c r="I206" t="s">
        <v>575</v>
      </c>
      <c r="J206" t="s">
        <v>162</v>
      </c>
      <c r="K206" t="s">
        <v>20</v>
      </c>
      <c r="L206" t="s">
        <v>54</v>
      </c>
    </row>
    <row r="207" spans="1:12" x14ac:dyDescent="0.3">
      <c r="A207">
        <v>1040</v>
      </c>
      <c r="B207" t="s">
        <v>120</v>
      </c>
      <c r="C207">
        <v>21</v>
      </c>
      <c r="D207" t="s">
        <v>55</v>
      </c>
      <c r="E207" t="s">
        <v>84</v>
      </c>
      <c r="F207" t="s">
        <v>863</v>
      </c>
      <c r="G207" t="s">
        <v>16</v>
      </c>
      <c r="H207" t="s">
        <v>37</v>
      </c>
      <c r="I207" t="s">
        <v>577</v>
      </c>
      <c r="J207" t="s">
        <v>578</v>
      </c>
      <c r="K207" t="s">
        <v>53</v>
      </c>
      <c r="L207" t="s">
        <v>116</v>
      </c>
    </row>
    <row r="208" spans="1:12" x14ac:dyDescent="0.3">
      <c r="A208">
        <v>1375</v>
      </c>
      <c r="B208" t="s">
        <v>74</v>
      </c>
      <c r="C208" t="s">
        <v>97</v>
      </c>
      <c r="D208" t="s">
        <v>55</v>
      </c>
      <c r="E208" t="s">
        <v>156</v>
      </c>
      <c r="F208" t="s">
        <v>864</v>
      </c>
      <c r="G208" t="s">
        <v>23</v>
      </c>
      <c r="H208" t="s">
        <v>218</v>
      </c>
      <c r="I208" t="s">
        <v>580</v>
      </c>
      <c r="J208" t="s">
        <v>325</v>
      </c>
      <c r="K208" t="s">
        <v>60</v>
      </c>
      <c r="L208" t="s">
        <v>78</v>
      </c>
    </row>
    <row r="209" spans="1:12" x14ac:dyDescent="0.3">
      <c r="A209">
        <v>1458</v>
      </c>
      <c r="B209" t="s">
        <v>22</v>
      </c>
      <c r="C209">
        <v>21</v>
      </c>
      <c r="D209" t="s">
        <v>55</v>
      </c>
      <c r="E209" t="s">
        <v>25</v>
      </c>
      <c r="F209" t="s">
        <v>865</v>
      </c>
      <c r="G209" t="s">
        <v>50</v>
      </c>
      <c r="H209" t="s">
        <v>110</v>
      </c>
      <c r="I209" t="s">
        <v>582</v>
      </c>
      <c r="J209" t="s">
        <v>224</v>
      </c>
      <c r="K209" t="s">
        <v>33</v>
      </c>
      <c r="L209" t="s">
        <v>54</v>
      </c>
    </row>
    <row r="210" spans="1:12" x14ac:dyDescent="0.3">
      <c r="A210">
        <v>1076</v>
      </c>
      <c r="B210" t="s">
        <v>22</v>
      </c>
      <c r="C210">
        <v>23</v>
      </c>
      <c r="D210" t="s">
        <v>55</v>
      </c>
      <c r="E210" t="s">
        <v>25</v>
      </c>
      <c r="F210" t="s">
        <v>866</v>
      </c>
      <c r="G210" t="s">
        <v>36</v>
      </c>
      <c r="H210" t="s">
        <v>218</v>
      </c>
      <c r="I210" t="s">
        <v>100</v>
      </c>
      <c r="J210" t="s">
        <v>451</v>
      </c>
      <c r="K210" t="s">
        <v>33</v>
      </c>
      <c r="L210" t="s">
        <v>41</v>
      </c>
    </row>
    <row r="211" spans="1:12" x14ac:dyDescent="0.3">
      <c r="A211">
        <v>1460</v>
      </c>
      <c r="B211" t="s">
        <v>32</v>
      </c>
      <c r="C211" t="s">
        <v>128</v>
      </c>
      <c r="D211" t="s">
        <v>659</v>
      </c>
      <c r="E211" t="s">
        <v>84</v>
      </c>
      <c r="F211" t="s">
        <v>867</v>
      </c>
      <c r="G211" t="s">
        <v>50</v>
      </c>
      <c r="H211" t="s">
        <v>90</v>
      </c>
      <c r="I211" t="s">
        <v>585</v>
      </c>
      <c r="J211" t="s">
        <v>414</v>
      </c>
      <c r="K211" t="s">
        <v>33</v>
      </c>
      <c r="L211" t="s">
        <v>21</v>
      </c>
    </row>
    <row r="212" spans="1:12" x14ac:dyDescent="0.3">
      <c r="A212">
        <v>1153</v>
      </c>
      <c r="B212" t="s">
        <v>163</v>
      </c>
      <c r="D212" t="s">
        <v>55</v>
      </c>
      <c r="E212" t="s">
        <v>167</v>
      </c>
      <c r="F212" t="s">
        <v>868</v>
      </c>
      <c r="G212" t="s">
        <v>50</v>
      </c>
      <c r="H212" t="s">
        <v>17</v>
      </c>
      <c r="I212" t="s">
        <v>145</v>
      </c>
      <c r="J212" t="s">
        <v>587</v>
      </c>
      <c r="K212" t="s">
        <v>96</v>
      </c>
      <c r="L212" t="s">
        <v>116</v>
      </c>
    </row>
    <row r="213" spans="1:12" x14ac:dyDescent="0.3">
      <c r="A213">
        <v>1490</v>
      </c>
      <c r="B213" t="s">
        <v>120</v>
      </c>
      <c r="C213">
        <v>24</v>
      </c>
      <c r="D213" t="s">
        <v>55</v>
      </c>
      <c r="E213" t="s">
        <v>84</v>
      </c>
      <c r="F213" t="s">
        <v>869</v>
      </c>
      <c r="G213" t="s">
        <v>16</v>
      </c>
      <c r="H213" t="s">
        <v>37</v>
      </c>
      <c r="I213" t="s">
        <v>568</v>
      </c>
      <c r="J213" t="s">
        <v>589</v>
      </c>
      <c r="K213" t="s">
        <v>60</v>
      </c>
      <c r="L213" t="s">
        <v>116</v>
      </c>
    </row>
    <row r="214" spans="1:12" x14ac:dyDescent="0.3">
      <c r="A214">
        <v>1123</v>
      </c>
      <c r="B214" t="s">
        <v>12</v>
      </c>
      <c r="C214">
        <v>25</v>
      </c>
      <c r="D214" t="s">
        <v>659</v>
      </c>
      <c r="E214" t="s">
        <v>84</v>
      </c>
      <c r="F214" t="s">
        <v>870</v>
      </c>
      <c r="G214" t="s">
        <v>23</v>
      </c>
      <c r="H214" t="s">
        <v>130</v>
      </c>
      <c r="I214" t="s">
        <v>469</v>
      </c>
      <c r="J214" t="s">
        <v>437</v>
      </c>
      <c r="K214" t="s">
        <v>20</v>
      </c>
      <c r="L214" t="s">
        <v>101</v>
      </c>
    </row>
    <row r="215" spans="1:12" x14ac:dyDescent="0.3">
      <c r="A215">
        <v>1497</v>
      </c>
      <c r="B215" t="s">
        <v>163</v>
      </c>
      <c r="C215">
        <v>24</v>
      </c>
      <c r="D215" t="s">
        <v>24</v>
      </c>
      <c r="E215" t="s">
        <v>25</v>
      </c>
      <c r="F215" t="s">
        <v>871</v>
      </c>
      <c r="G215" t="s">
        <v>36</v>
      </c>
      <c r="H215" t="s">
        <v>104</v>
      </c>
      <c r="I215" t="s">
        <v>592</v>
      </c>
      <c r="J215" t="s">
        <v>593</v>
      </c>
      <c r="K215" t="s">
        <v>60</v>
      </c>
      <c r="L215" t="s">
        <v>41</v>
      </c>
    </row>
    <row r="216" spans="1:12" x14ac:dyDescent="0.3">
      <c r="A216">
        <v>1135</v>
      </c>
      <c r="B216" t="s">
        <v>74</v>
      </c>
      <c r="C216">
        <v>23</v>
      </c>
      <c r="D216" t="s">
        <v>55</v>
      </c>
      <c r="E216" t="s">
        <v>25</v>
      </c>
      <c r="F216" t="s">
        <v>872</v>
      </c>
      <c r="G216" t="s">
        <v>50</v>
      </c>
      <c r="H216" t="s">
        <v>104</v>
      </c>
      <c r="I216" t="s">
        <v>253</v>
      </c>
      <c r="J216" t="s">
        <v>595</v>
      </c>
      <c r="K216" t="s">
        <v>53</v>
      </c>
      <c r="L216" t="s">
        <v>101</v>
      </c>
    </row>
    <row r="217" spans="1:12" x14ac:dyDescent="0.3">
      <c r="A217">
        <v>1269</v>
      </c>
      <c r="B217" t="s">
        <v>107</v>
      </c>
      <c r="C217">
        <v>25</v>
      </c>
      <c r="D217" t="s">
        <v>55</v>
      </c>
      <c r="E217" t="s">
        <v>84</v>
      </c>
      <c r="F217" t="s">
        <v>873</v>
      </c>
      <c r="G217" t="s">
        <v>141</v>
      </c>
      <c r="H217" t="s">
        <v>28</v>
      </c>
      <c r="I217" t="s">
        <v>597</v>
      </c>
      <c r="J217" t="s">
        <v>161</v>
      </c>
      <c r="K217" t="s">
        <v>53</v>
      </c>
      <c r="L217" t="s">
        <v>31</v>
      </c>
    </row>
    <row r="218" spans="1:12" x14ac:dyDescent="0.3">
      <c r="A218">
        <v>1428</v>
      </c>
      <c r="B218" t="s">
        <v>47</v>
      </c>
      <c r="C218">
        <v>19</v>
      </c>
      <c r="D218" t="s">
        <v>24</v>
      </c>
      <c r="E218" t="s">
        <v>156</v>
      </c>
      <c r="F218" t="s">
        <v>874</v>
      </c>
      <c r="G218" t="s">
        <v>36</v>
      </c>
      <c r="H218" t="s">
        <v>37</v>
      </c>
      <c r="I218" t="s">
        <v>127</v>
      </c>
      <c r="J218" t="s">
        <v>599</v>
      </c>
      <c r="K218" t="s">
        <v>20</v>
      </c>
      <c r="L218" t="s">
        <v>101</v>
      </c>
    </row>
    <row r="219" spans="1:12" x14ac:dyDescent="0.3">
      <c r="A219">
        <v>1251</v>
      </c>
      <c r="B219" t="s">
        <v>120</v>
      </c>
      <c r="C219">
        <v>19</v>
      </c>
      <c r="D219" t="s">
        <v>24</v>
      </c>
      <c r="E219" t="s">
        <v>84</v>
      </c>
      <c r="F219" t="s">
        <v>875</v>
      </c>
      <c r="G219" t="s">
        <v>66</v>
      </c>
      <c r="H219" t="s">
        <v>104</v>
      </c>
      <c r="I219" t="s">
        <v>601</v>
      </c>
      <c r="J219" t="s">
        <v>602</v>
      </c>
      <c r="K219" t="s">
        <v>53</v>
      </c>
      <c r="L219" t="s">
        <v>101</v>
      </c>
    </row>
    <row r="220" spans="1:12" x14ac:dyDescent="0.3">
      <c r="A220">
        <v>1257</v>
      </c>
      <c r="B220" t="s">
        <v>136</v>
      </c>
      <c r="C220">
        <v>24</v>
      </c>
      <c r="D220" t="s">
        <v>55</v>
      </c>
      <c r="E220" t="s">
        <v>25</v>
      </c>
      <c r="F220" t="s">
        <v>876</v>
      </c>
      <c r="G220" t="s">
        <v>141</v>
      </c>
      <c r="H220" t="s">
        <v>17</v>
      </c>
      <c r="I220" t="s">
        <v>604</v>
      </c>
      <c r="J220" t="s">
        <v>376</v>
      </c>
      <c r="K220" t="s">
        <v>20</v>
      </c>
      <c r="L220" t="s">
        <v>31</v>
      </c>
    </row>
    <row r="221" spans="1:12" x14ac:dyDescent="0.3">
      <c r="A221">
        <v>1247</v>
      </c>
      <c r="B221" t="s">
        <v>22</v>
      </c>
      <c r="C221">
        <v>24</v>
      </c>
      <c r="D221" t="s">
        <v>659</v>
      </c>
      <c r="E221" t="s">
        <v>156</v>
      </c>
      <c r="F221" t="s">
        <v>877</v>
      </c>
      <c r="G221" t="s">
        <v>141</v>
      </c>
      <c r="H221" t="s">
        <v>218</v>
      </c>
      <c r="I221" t="s">
        <v>158</v>
      </c>
      <c r="J221" t="s">
        <v>30</v>
      </c>
      <c r="K221" t="s">
        <v>20</v>
      </c>
      <c r="L221" t="s">
        <v>41</v>
      </c>
    </row>
    <row r="222" spans="1:12" x14ac:dyDescent="0.3">
      <c r="A222">
        <v>1169</v>
      </c>
      <c r="B222" t="s">
        <v>136</v>
      </c>
      <c r="C222">
        <v>22</v>
      </c>
      <c r="D222" t="s">
        <v>24</v>
      </c>
      <c r="E222" t="s">
        <v>167</v>
      </c>
      <c r="F222" t="s">
        <v>878</v>
      </c>
      <c r="G222" t="s">
        <v>27</v>
      </c>
      <c r="H222" t="s">
        <v>110</v>
      </c>
      <c r="I222" t="s">
        <v>607</v>
      </c>
      <c r="J222" t="s">
        <v>216</v>
      </c>
      <c r="K222" t="s">
        <v>40</v>
      </c>
      <c r="L222" t="s">
        <v>61</v>
      </c>
    </row>
    <row r="223" spans="1:12" x14ac:dyDescent="0.3">
      <c r="A223">
        <v>1206</v>
      </c>
      <c r="B223" t="s">
        <v>22</v>
      </c>
      <c r="C223">
        <v>22</v>
      </c>
      <c r="D223" t="s">
        <v>659</v>
      </c>
      <c r="E223" t="s">
        <v>25</v>
      </c>
      <c r="F223" t="s">
        <v>879</v>
      </c>
      <c r="G223" t="s">
        <v>50</v>
      </c>
      <c r="H223" t="s">
        <v>37</v>
      </c>
      <c r="I223" t="s">
        <v>568</v>
      </c>
      <c r="J223" t="s">
        <v>609</v>
      </c>
      <c r="K223" t="s">
        <v>33</v>
      </c>
      <c r="L223" t="s">
        <v>101</v>
      </c>
    </row>
    <row r="224" spans="1:12" x14ac:dyDescent="0.3">
      <c r="A224">
        <v>1440</v>
      </c>
      <c r="B224" t="s">
        <v>47</v>
      </c>
      <c r="C224">
        <v>18</v>
      </c>
      <c r="D224" t="s">
        <v>24</v>
      </c>
      <c r="E224" t="s">
        <v>167</v>
      </c>
      <c r="F224" t="s">
        <v>880</v>
      </c>
      <c r="G224" t="s">
        <v>71</v>
      </c>
      <c r="H224" t="s">
        <v>28</v>
      </c>
      <c r="I224" t="s">
        <v>611</v>
      </c>
      <c r="J224" t="s">
        <v>593</v>
      </c>
      <c r="K224" t="s">
        <v>60</v>
      </c>
      <c r="L224" t="s">
        <v>78</v>
      </c>
    </row>
    <row r="225" spans="1:12" x14ac:dyDescent="0.3">
      <c r="A225">
        <v>1471</v>
      </c>
      <c r="B225" t="s">
        <v>107</v>
      </c>
      <c r="C225" t="s">
        <v>23</v>
      </c>
      <c r="D225" t="s">
        <v>55</v>
      </c>
      <c r="E225" t="s">
        <v>84</v>
      </c>
      <c r="F225" t="s">
        <v>881</v>
      </c>
      <c r="G225" t="s">
        <v>16</v>
      </c>
      <c r="H225" t="s">
        <v>104</v>
      </c>
      <c r="I225" t="s">
        <v>403</v>
      </c>
      <c r="J225" t="s">
        <v>613</v>
      </c>
      <c r="K225" t="s">
        <v>40</v>
      </c>
      <c r="L225" t="s">
        <v>116</v>
      </c>
    </row>
    <row r="226" spans="1:12" x14ac:dyDescent="0.3">
      <c r="A226">
        <v>1063</v>
      </c>
      <c r="B226" t="s">
        <v>163</v>
      </c>
      <c r="C226">
        <v>22</v>
      </c>
      <c r="D226" t="s">
        <v>55</v>
      </c>
      <c r="E226" t="s">
        <v>25</v>
      </c>
      <c r="F226" t="s">
        <v>882</v>
      </c>
      <c r="G226" t="s">
        <v>16</v>
      </c>
      <c r="H226" t="s">
        <v>110</v>
      </c>
      <c r="I226" t="s">
        <v>290</v>
      </c>
      <c r="J226" t="s">
        <v>188</v>
      </c>
      <c r="K226" t="s">
        <v>20</v>
      </c>
      <c r="L226" t="s">
        <v>31</v>
      </c>
    </row>
    <row r="227" spans="1:12" x14ac:dyDescent="0.3">
      <c r="A227">
        <v>1481</v>
      </c>
      <c r="B227" t="s">
        <v>22</v>
      </c>
      <c r="C227">
        <v>21</v>
      </c>
      <c r="D227" t="s">
        <v>659</v>
      </c>
      <c r="E227" t="s">
        <v>167</v>
      </c>
      <c r="F227" t="s">
        <v>883</v>
      </c>
      <c r="G227" t="s">
        <v>36</v>
      </c>
      <c r="H227" t="s">
        <v>90</v>
      </c>
      <c r="I227" t="s">
        <v>151</v>
      </c>
      <c r="J227" t="s">
        <v>551</v>
      </c>
      <c r="K227" t="s">
        <v>96</v>
      </c>
      <c r="L227" t="s">
        <v>21</v>
      </c>
    </row>
    <row r="228" spans="1:12" x14ac:dyDescent="0.3">
      <c r="A228">
        <v>1003</v>
      </c>
      <c r="B228" t="s">
        <v>120</v>
      </c>
      <c r="C228" t="s">
        <v>97</v>
      </c>
      <c r="D228" t="s">
        <v>24</v>
      </c>
      <c r="E228" t="s">
        <v>156</v>
      </c>
      <c r="F228" t="s">
        <v>884</v>
      </c>
      <c r="G228" t="s">
        <v>141</v>
      </c>
      <c r="H228" t="s">
        <v>142</v>
      </c>
      <c r="I228" t="s">
        <v>338</v>
      </c>
      <c r="J228" t="s">
        <v>609</v>
      </c>
      <c r="K228" t="s">
        <v>96</v>
      </c>
      <c r="L228" t="s">
        <v>54</v>
      </c>
    </row>
    <row r="229" spans="1:12" x14ac:dyDescent="0.3">
      <c r="A229">
        <v>1017</v>
      </c>
      <c r="B229" t="s">
        <v>22</v>
      </c>
      <c r="C229">
        <v>23</v>
      </c>
      <c r="D229" t="s">
        <v>55</v>
      </c>
      <c r="E229" t="s">
        <v>25</v>
      </c>
      <c r="F229" t="s">
        <v>885</v>
      </c>
      <c r="G229" t="s">
        <v>23</v>
      </c>
      <c r="H229" t="s">
        <v>76</v>
      </c>
      <c r="I229" t="s">
        <v>437</v>
      </c>
      <c r="J229" t="s">
        <v>618</v>
      </c>
      <c r="K229" t="s">
        <v>20</v>
      </c>
      <c r="L229" t="s">
        <v>21</v>
      </c>
    </row>
    <row r="230" spans="1:12" x14ac:dyDescent="0.3">
      <c r="A230">
        <v>1088</v>
      </c>
      <c r="B230" t="s">
        <v>163</v>
      </c>
      <c r="C230">
        <v>21</v>
      </c>
      <c r="D230" t="s">
        <v>55</v>
      </c>
      <c r="E230" t="s">
        <v>84</v>
      </c>
      <c r="F230" t="s">
        <v>886</v>
      </c>
      <c r="G230" t="s">
        <v>50</v>
      </c>
      <c r="H230" t="s">
        <v>76</v>
      </c>
      <c r="I230" t="s">
        <v>228</v>
      </c>
      <c r="J230" t="s">
        <v>250</v>
      </c>
      <c r="K230" t="s">
        <v>96</v>
      </c>
      <c r="L230" t="s">
        <v>41</v>
      </c>
    </row>
    <row r="231" spans="1:12" x14ac:dyDescent="0.3">
      <c r="A231">
        <v>1238</v>
      </c>
      <c r="B231" t="s">
        <v>107</v>
      </c>
      <c r="C231">
        <v>21</v>
      </c>
      <c r="D231" t="s">
        <v>55</v>
      </c>
      <c r="E231" t="s">
        <v>25</v>
      </c>
      <c r="F231" t="s">
        <v>887</v>
      </c>
      <c r="G231" t="s">
        <v>27</v>
      </c>
      <c r="H231" t="s">
        <v>130</v>
      </c>
      <c r="I231" t="s">
        <v>621</v>
      </c>
      <c r="J231" t="s">
        <v>622</v>
      </c>
      <c r="K231" t="s">
        <v>60</v>
      </c>
      <c r="L231" t="s">
        <v>41</v>
      </c>
    </row>
    <row r="232" spans="1:12" x14ac:dyDescent="0.3">
      <c r="A232">
        <v>1215</v>
      </c>
      <c r="B232" t="s">
        <v>32</v>
      </c>
      <c r="C232" t="s">
        <v>97</v>
      </c>
      <c r="D232" t="s">
        <v>55</v>
      </c>
      <c r="E232" t="s">
        <v>156</v>
      </c>
      <c r="F232" t="s">
        <v>888</v>
      </c>
      <c r="G232" t="s">
        <v>16</v>
      </c>
      <c r="H232" t="s">
        <v>142</v>
      </c>
      <c r="I232" t="s">
        <v>52</v>
      </c>
      <c r="J232" t="s">
        <v>349</v>
      </c>
      <c r="K232" t="s">
        <v>40</v>
      </c>
      <c r="L232" t="s">
        <v>31</v>
      </c>
    </row>
    <row r="233" spans="1:12" x14ac:dyDescent="0.3">
      <c r="A233">
        <v>1197</v>
      </c>
      <c r="B233" t="s">
        <v>22</v>
      </c>
      <c r="C233">
        <v>25</v>
      </c>
      <c r="D233" t="s">
        <v>24</v>
      </c>
      <c r="E233" t="s">
        <v>25</v>
      </c>
      <c r="F233" t="s">
        <v>889</v>
      </c>
      <c r="G233" t="s">
        <v>50</v>
      </c>
      <c r="H233" t="s">
        <v>76</v>
      </c>
      <c r="I233" t="s">
        <v>516</v>
      </c>
      <c r="J233" t="s">
        <v>455</v>
      </c>
      <c r="K233" t="s">
        <v>60</v>
      </c>
      <c r="L233" t="s">
        <v>21</v>
      </c>
    </row>
    <row r="234" spans="1:12" x14ac:dyDescent="0.3">
      <c r="A234">
        <v>1097</v>
      </c>
      <c r="B234" t="s">
        <v>22</v>
      </c>
      <c r="C234">
        <v>18</v>
      </c>
      <c r="D234" t="s">
        <v>55</v>
      </c>
      <c r="E234" t="s">
        <v>84</v>
      </c>
      <c r="F234" t="s">
        <v>890</v>
      </c>
      <c r="G234" t="s">
        <v>16</v>
      </c>
      <c r="H234" t="s">
        <v>130</v>
      </c>
      <c r="I234" t="s">
        <v>416</v>
      </c>
      <c r="J234" t="s">
        <v>431</v>
      </c>
      <c r="K234" t="s">
        <v>53</v>
      </c>
      <c r="L234" t="s">
        <v>78</v>
      </c>
    </row>
    <row r="235" spans="1:12" x14ac:dyDescent="0.3">
      <c r="A235">
        <v>1050</v>
      </c>
      <c r="B235" t="s">
        <v>136</v>
      </c>
      <c r="C235">
        <v>19</v>
      </c>
      <c r="D235" t="s">
        <v>24</v>
      </c>
      <c r="E235" t="s">
        <v>25</v>
      </c>
      <c r="F235" t="s">
        <v>891</v>
      </c>
      <c r="G235" t="s">
        <v>27</v>
      </c>
      <c r="H235" t="s">
        <v>90</v>
      </c>
      <c r="I235" t="s">
        <v>457</v>
      </c>
      <c r="J235" t="s">
        <v>292</v>
      </c>
      <c r="K235" t="s">
        <v>40</v>
      </c>
      <c r="L235" t="s">
        <v>116</v>
      </c>
    </row>
    <row r="236" spans="1:12" x14ac:dyDescent="0.3">
      <c r="A236">
        <v>1357</v>
      </c>
      <c r="B236" t="s">
        <v>117</v>
      </c>
      <c r="C236">
        <v>25</v>
      </c>
      <c r="D236" t="s">
        <v>24</v>
      </c>
      <c r="E236" t="s">
        <v>84</v>
      </c>
      <c r="F236" t="s">
        <v>892</v>
      </c>
      <c r="G236" t="s">
        <v>50</v>
      </c>
      <c r="H236" t="s">
        <v>76</v>
      </c>
      <c r="I236" t="s">
        <v>628</v>
      </c>
      <c r="J236" t="s">
        <v>629</v>
      </c>
      <c r="K236" t="s">
        <v>33</v>
      </c>
      <c r="L236" t="s">
        <v>78</v>
      </c>
    </row>
    <row r="237" spans="1:12" x14ac:dyDescent="0.3">
      <c r="A237">
        <v>1130</v>
      </c>
      <c r="B237" t="s">
        <v>22</v>
      </c>
      <c r="C237">
        <v>20</v>
      </c>
      <c r="D237" t="s">
        <v>659</v>
      </c>
      <c r="E237" t="s">
        <v>156</v>
      </c>
      <c r="F237" t="s">
        <v>893</v>
      </c>
      <c r="G237" t="s">
        <v>71</v>
      </c>
      <c r="H237" t="s">
        <v>37</v>
      </c>
      <c r="I237" t="s">
        <v>283</v>
      </c>
      <c r="J237" t="s">
        <v>631</v>
      </c>
      <c r="K237" t="s">
        <v>40</v>
      </c>
      <c r="L237" t="s">
        <v>21</v>
      </c>
    </row>
    <row r="238" spans="1:12" x14ac:dyDescent="0.3">
      <c r="A238">
        <v>1146</v>
      </c>
      <c r="B238" t="s">
        <v>32</v>
      </c>
      <c r="C238">
        <v>21</v>
      </c>
      <c r="D238" t="s">
        <v>55</v>
      </c>
      <c r="E238" t="s">
        <v>25</v>
      </c>
      <c r="F238" t="s">
        <v>894</v>
      </c>
      <c r="G238" t="s">
        <v>36</v>
      </c>
      <c r="H238" t="s">
        <v>28</v>
      </c>
      <c r="I238" t="s">
        <v>566</v>
      </c>
      <c r="J238" t="s">
        <v>38</v>
      </c>
      <c r="K238" t="s">
        <v>60</v>
      </c>
      <c r="L238" t="s">
        <v>54</v>
      </c>
    </row>
    <row r="239" spans="1:12" x14ac:dyDescent="0.3">
      <c r="A239">
        <v>1302</v>
      </c>
      <c r="B239" t="s">
        <v>74</v>
      </c>
      <c r="C239">
        <v>23</v>
      </c>
      <c r="D239" t="s">
        <v>24</v>
      </c>
      <c r="E239" t="s">
        <v>156</v>
      </c>
      <c r="F239" t="s">
        <v>895</v>
      </c>
      <c r="G239" t="s">
        <v>66</v>
      </c>
      <c r="H239" t="s">
        <v>218</v>
      </c>
      <c r="I239" t="s">
        <v>634</v>
      </c>
      <c r="J239" t="s">
        <v>293</v>
      </c>
      <c r="K239" t="s">
        <v>40</v>
      </c>
      <c r="L239" t="s">
        <v>21</v>
      </c>
    </row>
    <row r="240" spans="1:12" x14ac:dyDescent="0.3">
      <c r="A240">
        <v>1045</v>
      </c>
      <c r="B240" t="s">
        <v>22</v>
      </c>
      <c r="C240" t="s">
        <v>128</v>
      </c>
      <c r="D240" t="s">
        <v>55</v>
      </c>
      <c r="E240" t="s">
        <v>156</v>
      </c>
      <c r="F240" t="s">
        <v>896</v>
      </c>
      <c r="G240" t="s">
        <v>66</v>
      </c>
      <c r="H240" t="s">
        <v>17</v>
      </c>
      <c r="I240" t="s">
        <v>335</v>
      </c>
      <c r="J240" t="s">
        <v>636</v>
      </c>
      <c r="K240" t="s">
        <v>33</v>
      </c>
      <c r="L240" t="s">
        <v>116</v>
      </c>
    </row>
    <row r="241" spans="1:12" x14ac:dyDescent="0.3">
      <c r="A241">
        <v>1441</v>
      </c>
      <c r="B241" t="s">
        <v>155</v>
      </c>
      <c r="C241">
        <v>23</v>
      </c>
      <c r="D241" t="s">
        <v>55</v>
      </c>
      <c r="E241" t="s">
        <v>25</v>
      </c>
      <c r="F241" t="s">
        <v>897</v>
      </c>
      <c r="G241" t="s">
        <v>71</v>
      </c>
      <c r="H241" t="s">
        <v>110</v>
      </c>
      <c r="I241" t="s">
        <v>181</v>
      </c>
      <c r="J241" t="s">
        <v>73</v>
      </c>
      <c r="K241" t="s">
        <v>20</v>
      </c>
      <c r="L241" t="s">
        <v>31</v>
      </c>
    </row>
    <row r="242" spans="1:12" x14ac:dyDescent="0.3">
      <c r="A242">
        <v>1419</v>
      </c>
      <c r="B242" t="s">
        <v>120</v>
      </c>
      <c r="C242">
        <v>18</v>
      </c>
      <c r="D242" t="s">
        <v>55</v>
      </c>
      <c r="E242" t="s">
        <v>25</v>
      </c>
      <c r="F242" t="s">
        <v>898</v>
      </c>
      <c r="G242" t="s">
        <v>66</v>
      </c>
      <c r="H242" t="s">
        <v>218</v>
      </c>
      <c r="I242" t="s">
        <v>236</v>
      </c>
      <c r="J242" t="s">
        <v>639</v>
      </c>
      <c r="K242" t="s">
        <v>33</v>
      </c>
      <c r="L242" t="s">
        <v>31</v>
      </c>
    </row>
    <row r="243" spans="1:12" x14ac:dyDescent="0.3">
      <c r="A243">
        <v>1018</v>
      </c>
      <c r="B243" t="s">
        <v>120</v>
      </c>
      <c r="C243">
        <v>20</v>
      </c>
      <c r="D243" t="s">
        <v>24</v>
      </c>
      <c r="E243" t="s">
        <v>156</v>
      </c>
      <c r="F243" t="s">
        <v>899</v>
      </c>
      <c r="G243" t="s">
        <v>66</v>
      </c>
      <c r="H243" t="s">
        <v>110</v>
      </c>
      <c r="I243" t="s">
        <v>641</v>
      </c>
      <c r="J243" t="s">
        <v>184</v>
      </c>
      <c r="K243" t="s">
        <v>60</v>
      </c>
      <c r="L243" t="s">
        <v>116</v>
      </c>
    </row>
    <row r="244" spans="1:12" x14ac:dyDescent="0.3">
      <c r="A244">
        <v>1475</v>
      </c>
      <c r="B244" t="s">
        <v>22</v>
      </c>
      <c r="C244">
        <v>23</v>
      </c>
      <c r="D244" t="s">
        <v>55</v>
      </c>
      <c r="E244" t="s">
        <v>167</v>
      </c>
      <c r="F244" t="s">
        <v>900</v>
      </c>
      <c r="G244" t="s">
        <v>141</v>
      </c>
      <c r="H244" t="s">
        <v>104</v>
      </c>
      <c r="I244" t="s">
        <v>643</v>
      </c>
      <c r="J244" t="s">
        <v>328</v>
      </c>
      <c r="K244" t="s">
        <v>33</v>
      </c>
      <c r="L244" t="s">
        <v>54</v>
      </c>
    </row>
    <row r="245" spans="1:12" x14ac:dyDescent="0.3">
      <c r="A245">
        <v>1174</v>
      </c>
      <c r="B245" t="s">
        <v>22</v>
      </c>
      <c r="C245" t="s">
        <v>128</v>
      </c>
      <c r="D245" t="s">
        <v>55</v>
      </c>
      <c r="E245" t="s">
        <v>25</v>
      </c>
      <c r="F245" t="s">
        <v>901</v>
      </c>
      <c r="G245" t="s">
        <v>23</v>
      </c>
      <c r="H245" t="s">
        <v>142</v>
      </c>
      <c r="I245" t="s">
        <v>46</v>
      </c>
      <c r="J245" t="s">
        <v>645</v>
      </c>
      <c r="K245" t="s">
        <v>96</v>
      </c>
      <c r="L245" t="s">
        <v>41</v>
      </c>
    </row>
    <row r="246" spans="1:12" x14ac:dyDescent="0.3">
      <c r="A246">
        <v>1438</v>
      </c>
      <c r="B246" t="s">
        <v>12</v>
      </c>
      <c r="C246" t="s">
        <v>97</v>
      </c>
      <c r="D246" t="s">
        <v>659</v>
      </c>
      <c r="E246" t="s">
        <v>84</v>
      </c>
      <c r="F246" t="s">
        <v>902</v>
      </c>
      <c r="G246" t="s">
        <v>71</v>
      </c>
      <c r="H246" t="s">
        <v>218</v>
      </c>
      <c r="I246" t="s">
        <v>647</v>
      </c>
      <c r="J246" t="s">
        <v>648</v>
      </c>
      <c r="K246" t="s">
        <v>60</v>
      </c>
      <c r="L246" t="s">
        <v>54</v>
      </c>
    </row>
    <row r="247" spans="1:12" x14ac:dyDescent="0.3">
      <c r="A247">
        <v>1073</v>
      </c>
      <c r="B247" t="s">
        <v>107</v>
      </c>
      <c r="C247">
        <v>22</v>
      </c>
      <c r="D247" t="s">
        <v>24</v>
      </c>
      <c r="E247" t="s">
        <v>156</v>
      </c>
      <c r="F247" t="s">
        <v>903</v>
      </c>
      <c r="G247" t="s">
        <v>36</v>
      </c>
      <c r="H247" t="s">
        <v>218</v>
      </c>
      <c r="I247" t="s">
        <v>650</v>
      </c>
      <c r="J247" t="s">
        <v>478</v>
      </c>
      <c r="K247" t="s">
        <v>33</v>
      </c>
      <c r="L247" t="s">
        <v>41</v>
      </c>
    </row>
    <row r="248" spans="1:12" x14ac:dyDescent="0.3">
      <c r="A248">
        <v>1465</v>
      </c>
      <c r="B248" t="s">
        <v>47</v>
      </c>
      <c r="C248">
        <v>25</v>
      </c>
      <c r="D248" t="s">
        <v>659</v>
      </c>
      <c r="E248" t="s">
        <v>167</v>
      </c>
      <c r="F248" t="s">
        <v>904</v>
      </c>
      <c r="G248" t="s">
        <v>27</v>
      </c>
      <c r="H248" t="s">
        <v>90</v>
      </c>
      <c r="I248" t="s">
        <v>370</v>
      </c>
      <c r="J248" t="s">
        <v>303</v>
      </c>
      <c r="K248" t="s">
        <v>33</v>
      </c>
      <c r="L248" t="s">
        <v>78</v>
      </c>
    </row>
    <row r="249" spans="1:12" x14ac:dyDescent="0.3">
      <c r="A249">
        <v>1062</v>
      </c>
      <c r="B249" t="s">
        <v>107</v>
      </c>
      <c r="C249">
        <v>22</v>
      </c>
      <c r="D249" t="s">
        <v>659</v>
      </c>
      <c r="E249" t="s">
        <v>156</v>
      </c>
      <c r="F249" t="s">
        <v>905</v>
      </c>
      <c r="G249" t="s">
        <v>141</v>
      </c>
      <c r="H249" t="s">
        <v>110</v>
      </c>
      <c r="I249" t="s">
        <v>653</v>
      </c>
      <c r="J249" t="s">
        <v>250</v>
      </c>
      <c r="K249" t="s">
        <v>96</v>
      </c>
      <c r="L249" t="s">
        <v>21</v>
      </c>
    </row>
    <row r="250" spans="1:12" x14ac:dyDescent="0.3">
      <c r="A250">
        <v>1195</v>
      </c>
      <c r="B250" t="s">
        <v>107</v>
      </c>
      <c r="C250">
        <v>25</v>
      </c>
      <c r="D250" t="s">
        <v>24</v>
      </c>
      <c r="E250" t="s">
        <v>84</v>
      </c>
      <c r="F250" t="s">
        <v>906</v>
      </c>
      <c r="G250" t="s">
        <v>71</v>
      </c>
      <c r="H250" t="s">
        <v>130</v>
      </c>
      <c r="I250" t="s">
        <v>329</v>
      </c>
      <c r="J250" t="s">
        <v>153</v>
      </c>
      <c r="K250" t="s">
        <v>60</v>
      </c>
      <c r="L250" t="s">
        <v>61</v>
      </c>
    </row>
    <row r="251" spans="1:12" x14ac:dyDescent="0.3">
      <c r="A251">
        <v>1139</v>
      </c>
      <c r="B251" t="s">
        <v>155</v>
      </c>
      <c r="C251">
        <v>22</v>
      </c>
      <c r="D251" t="s">
        <v>55</v>
      </c>
      <c r="E251" t="s">
        <v>167</v>
      </c>
      <c r="F251" t="s">
        <v>907</v>
      </c>
      <c r="G251" t="s">
        <v>66</v>
      </c>
      <c r="H251" t="s">
        <v>90</v>
      </c>
      <c r="I251" t="s">
        <v>636</v>
      </c>
      <c r="J251" t="s">
        <v>357</v>
      </c>
      <c r="K251" t="s">
        <v>20</v>
      </c>
      <c r="L251" t="s">
        <v>54</v>
      </c>
    </row>
    <row r="252" spans="1:12" x14ac:dyDescent="0.3">
      <c r="A252">
        <v>1365</v>
      </c>
      <c r="B252" t="s">
        <v>12</v>
      </c>
      <c r="C252">
        <v>20</v>
      </c>
      <c r="D252" t="s">
        <v>55</v>
      </c>
      <c r="E252" t="s">
        <v>167</v>
      </c>
      <c r="F252" t="s">
        <v>657</v>
      </c>
      <c r="G252" t="s">
        <v>16</v>
      </c>
      <c r="H252" t="s">
        <v>17</v>
      </c>
      <c r="I252" t="s">
        <v>18</v>
      </c>
      <c r="J252" t="s">
        <v>19</v>
      </c>
      <c r="K252" t="s">
        <v>20</v>
      </c>
      <c r="L252" t="s">
        <v>21</v>
      </c>
    </row>
    <row r="253" spans="1:12" x14ac:dyDescent="0.3">
      <c r="A253">
        <v>1382</v>
      </c>
      <c r="B253" t="s">
        <v>22</v>
      </c>
      <c r="C253" t="s">
        <v>23</v>
      </c>
      <c r="D253" t="s">
        <v>24</v>
      </c>
      <c r="E253" t="s">
        <v>25</v>
      </c>
      <c r="F253" t="s">
        <v>658</v>
      </c>
      <c r="G253" t="s">
        <v>27</v>
      </c>
      <c r="H253" t="s">
        <v>28</v>
      </c>
      <c r="I253" t="s">
        <v>29</v>
      </c>
      <c r="J253" t="s">
        <v>30</v>
      </c>
      <c r="K253" t="s">
        <v>20</v>
      </c>
      <c r="L253" t="s">
        <v>31</v>
      </c>
    </row>
    <row r="254" spans="1:12" x14ac:dyDescent="0.3">
      <c r="A254">
        <v>1322</v>
      </c>
      <c r="B254" t="s">
        <v>32</v>
      </c>
      <c r="C254">
        <v>25</v>
      </c>
      <c r="D254" t="s">
        <v>659</v>
      </c>
      <c r="E254" t="s">
        <v>156</v>
      </c>
      <c r="F254" t="s">
        <v>660</v>
      </c>
      <c r="G254" t="s">
        <v>36</v>
      </c>
      <c r="H254" t="s">
        <v>37</v>
      </c>
      <c r="I254" t="s">
        <v>38</v>
      </c>
      <c r="J254" t="s">
        <v>39</v>
      </c>
      <c r="K254" t="s">
        <v>40</v>
      </c>
      <c r="L254" t="s">
        <v>41</v>
      </c>
    </row>
    <row r="255" spans="1:12" x14ac:dyDescent="0.3">
      <c r="A255">
        <v>1476</v>
      </c>
      <c r="B255" t="s">
        <v>12</v>
      </c>
      <c r="C255">
        <v>21</v>
      </c>
      <c r="D255" t="s">
        <v>55</v>
      </c>
      <c r="E255" t="s">
        <v>25</v>
      </c>
      <c r="F255" t="s">
        <v>661</v>
      </c>
      <c r="G255" t="s">
        <v>23</v>
      </c>
      <c r="H255" t="s">
        <v>17</v>
      </c>
      <c r="I255" t="s">
        <v>45</v>
      </c>
      <c r="J255" t="s">
        <v>46</v>
      </c>
      <c r="K255" t="s">
        <v>33</v>
      </c>
      <c r="L255" t="s">
        <v>41</v>
      </c>
    </row>
    <row r="256" spans="1:12" x14ac:dyDescent="0.3">
      <c r="A256">
        <v>1098</v>
      </c>
      <c r="B256" t="s">
        <v>47</v>
      </c>
      <c r="C256">
        <v>19</v>
      </c>
      <c r="D256" t="s">
        <v>659</v>
      </c>
      <c r="E256" t="s">
        <v>25</v>
      </c>
      <c r="F256" t="s">
        <v>662</v>
      </c>
      <c r="G256" t="s">
        <v>50</v>
      </c>
      <c r="H256" t="s">
        <v>17</v>
      </c>
      <c r="I256" t="s">
        <v>51</v>
      </c>
      <c r="J256" t="s">
        <v>52</v>
      </c>
      <c r="K256" t="s">
        <v>53</v>
      </c>
      <c r="L256" t="s">
        <v>54</v>
      </c>
    </row>
    <row r="257" spans="1:12" x14ac:dyDescent="0.3">
      <c r="A257">
        <v>1230</v>
      </c>
      <c r="B257" t="s">
        <v>12</v>
      </c>
      <c r="C257">
        <v>21</v>
      </c>
      <c r="D257" t="s">
        <v>55</v>
      </c>
      <c r="E257" t="s">
        <v>25</v>
      </c>
      <c r="F257" t="s">
        <v>663</v>
      </c>
      <c r="G257" t="s">
        <v>66</v>
      </c>
      <c r="H257" t="s">
        <v>17</v>
      </c>
      <c r="I257" t="s">
        <v>58</v>
      </c>
      <c r="J257" t="s">
        <v>59</v>
      </c>
      <c r="K257" t="s">
        <v>60</v>
      </c>
      <c r="L257" t="s">
        <v>61</v>
      </c>
    </row>
    <row r="258" spans="1:12" x14ac:dyDescent="0.3">
      <c r="A258">
        <v>1017</v>
      </c>
      <c r="B258" t="s">
        <v>12</v>
      </c>
      <c r="C258">
        <v>22</v>
      </c>
      <c r="D258" t="s">
        <v>24</v>
      </c>
      <c r="E258" t="s">
        <v>84</v>
      </c>
      <c r="F258" t="s">
        <v>664</v>
      </c>
      <c r="G258" t="s">
        <v>66</v>
      </c>
      <c r="H258" t="s">
        <v>37</v>
      </c>
      <c r="I258" t="s">
        <v>67</v>
      </c>
      <c r="J258" t="s">
        <v>68</v>
      </c>
      <c r="K258" t="s">
        <v>53</v>
      </c>
      <c r="L258" t="s">
        <v>21</v>
      </c>
    </row>
    <row r="259" spans="1:12" x14ac:dyDescent="0.3">
      <c r="A259">
        <v>1083</v>
      </c>
      <c r="B259" t="s">
        <v>32</v>
      </c>
      <c r="C259">
        <v>21</v>
      </c>
      <c r="D259" t="s">
        <v>659</v>
      </c>
      <c r="E259" t="s">
        <v>25</v>
      </c>
      <c r="F259" t="s">
        <v>665</v>
      </c>
      <c r="G259" t="s">
        <v>71</v>
      </c>
      <c r="H259" t="s">
        <v>37</v>
      </c>
      <c r="I259" t="s">
        <v>72</v>
      </c>
      <c r="J259" t="s">
        <v>73</v>
      </c>
      <c r="K259" t="s">
        <v>33</v>
      </c>
      <c r="L259" t="s">
        <v>31</v>
      </c>
    </row>
    <row r="260" spans="1:12" x14ac:dyDescent="0.3">
      <c r="A260">
        <v>1106</v>
      </c>
      <c r="B260" t="s">
        <v>74</v>
      </c>
      <c r="C260">
        <v>24</v>
      </c>
      <c r="D260" t="s">
        <v>24</v>
      </c>
      <c r="E260" t="s">
        <v>156</v>
      </c>
      <c r="F260" t="s">
        <v>666</v>
      </c>
      <c r="G260" t="s">
        <v>71</v>
      </c>
      <c r="H260" t="s">
        <v>76</v>
      </c>
      <c r="I260" t="s">
        <v>77</v>
      </c>
      <c r="J260" t="s">
        <v>67</v>
      </c>
      <c r="K260" t="s">
        <v>40</v>
      </c>
      <c r="L260" t="s">
        <v>78</v>
      </c>
    </row>
    <row r="261" spans="1:12" x14ac:dyDescent="0.3">
      <c r="A261">
        <v>1123</v>
      </c>
      <c r="B261" t="s">
        <v>22</v>
      </c>
      <c r="C261">
        <v>20</v>
      </c>
      <c r="D261" t="s">
        <v>55</v>
      </c>
      <c r="E261" t="s">
        <v>84</v>
      </c>
      <c r="F261" t="s">
        <v>667</v>
      </c>
      <c r="G261" t="s">
        <v>71</v>
      </c>
      <c r="H261" t="s">
        <v>17</v>
      </c>
      <c r="I261" t="s">
        <v>82</v>
      </c>
      <c r="J261" t="s">
        <v>83</v>
      </c>
      <c r="K261" t="s">
        <v>53</v>
      </c>
      <c r="L261" t="s">
        <v>41</v>
      </c>
    </row>
    <row r="262" spans="1:12" x14ac:dyDescent="0.3">
      <c r="A262">
        <v>1057</v>
      </c>
      <c r="B262" t="s">
        <v>32</v>
      </c>
      <c r="C262">
        <v>21</v>
      </c>
      <c r="D262" t="s">
        <v>24</v>
      </c>
      <c r="E262" t="s">
        <v>84</v>
      </c>
      <c r="F262" t="s">
        <v>668</v>
      </c>
      <c r="G262" t="s">
        <v>50</v>
      </c>
      <c r="H262" t="s">
        <v>76</v>
      </c>
      <c r="I262" t="s">
        <v>87</v>
      </c>
      <c r="J262" t="s">
        <v>88</v>
      </c>
      <c r="K262" t="s">
        <v>53</v>
      </c>
      <c r="L262" t="s">
        <v>21</v>
      </c>
    </row>
    <row r="263" spans="1:12" x14ac:dyDescent="0.3">
      <c r="A263">
        <v>1214</v>
      </c>
      <c r="B263" t="s">
        <v>22</v>
      </c>
      <c r="C263">
        <v>19</v>
      </c>
      <c r="D263" t="s">
        <v>55</v>
      </c>
      <c r="E263" t="s">
        <v>84</v>
      </c>
      <c r="F263" t="s">
        <v>669</v>
      </c>
      <c r="G263" t="s">
        <v>23</v>
      </c>
      <c r="H263" t="s">
        <v>90</v>
      </c>
      <c r="I263" t="s">
        <v>91</v>
      </c>
      <c r="J263" t="s">
        <v>92</v>
      </c>
      <c r="K263" t="s">
        <v>40</v>
      </c>
      <c r="L263" t="s">
        <v>54</v>
      </c>
    </row>
    <row r="264" spans="1:12" x14ac:dyDescent="0.3">
      <c r="A264">
        <v>1225</v>
      </c>
      <c r="B264" t="s">
        <v>32</v>
      </c>
      <c r="C264">
        <v>22</v>
      </c>
      <c r="D264" t="s">
        <v>55</v>
      </c>
      <c r="E264" t="s">
        <v>25</v>
      </c>
      <c r="F264" t="s">
        <v>670</v>
      </c>
      <c r="G264" t="s">
        <v>66</v>
      </c>
      <c r="H264" t="s">
        <v>37</v>
      </c>
      <c r="I264" t="s">
        <v>94</v>
      </c>
      <c r="J264" t="s">
        <v>95</v>
      </c>
      <c r="K264" t="s">
        <v>96</v>
      </c>
      <c r="L264" t="s">
        <v>21</v>
      </c>
    </row>
    <row r="265" spans="1:12" x14ac:dyDescent="0.3">
      <c r="A265">
        <v>1096</v>
      </c>
      <c r="B265" t="s">
        <v>47</v>
      </c>
      <c r="C265" t="s">
        <v>97</v>
      </c>
      <c r="D265" t="s">
        <v>55</v>
      </c>
      <c r="E265" t="s">
        <v>25</v>
      </c>
      <c r="F265" t="s">
        <v>671</v>
      </c>
      <c r="G265" t="s">
        <v>66</v>
      </c>
      <c r="H265" t="s">
        <v>90</v>
      </c>
      <c r="I265" t="s">
        <v>99</v>
      </c>
      <c r="J265" t="s">
        <v>100</v>
      </c>
      <c r="K265" t="s">
        <v>96</v>
      </c>
      <c r="L265" t="s">
        <v>101</v>
      </c>
    </row>
    <row r="266" spans="1:12" x14ac:dyDescent="0.3">
      <c r="A266">
        <v>1113</v>
      </c>
      <c r="B266" t="s">
        <v>47</v>
      </c>
      <c r="C266">
        <v>18</v>
      </c>
      <c r="D266" t="s">
        <v>24</v>
      </c>
      <c r="E266" t="s">
        <v>25</v>
      </c>
      <c r="F266" t="s">
        <v>672</v>
      </c>
      <c r="G266" t="s">
        <v>50</v>
      </c>
      <c r="H266" t="s">
        <v>104</v>
      </c>
      <c r="I266" t="s">
        <v>105</v>
      </c>
      <c r="J266" t="s">
        <v>106</v>
      </c>
      <c r="K266" t="s">
        <v>33</v>
      </c>
      <c r="L266" t="s">
        <v>61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6"/>
  <sheetViews>
    <sheetView topLeftCell="A238" workbookViewId="0">
      <selection sqref="A1:L266"/>
    </sheetView>
  </sheetViews>
  <sheetFormatPr defaultRowHeight="14.4" x14ac:dyDescent="0.3"/>
  <cols>
    <col min="1" max="1" width="15.77734375" customWidth="1"/>
    <col min="2" max="2" width="12.88671875" bestFit="1" customWidth="1"/>
    <col min="3" max="3" width="10.5546875" bestFit="1" customWidth="1"/>
    <col min="4" max="4" width="9" customWidth="1"/>
    <col min="5" max="5" width="14" bestFit="1" customWidth="1"/>
    <col min="6" max="6" width="22.21875" bestFit="1" customWidth="1"/>
    <col min="7" max="7" width="19" customWidth="1"/>
    <col min="8" max="8" width="20.33203125" customWidth="1"/>
    <col min="9" max="9" width="11.109375" customWidth="1"/>
    <col min="10" max="10" width="19.77734375" customWidth="1"/>
    <col min="11" max="11" width="16.109375" customWidth="1"/>
    <col min="12" max="12" width="10.10937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1365</v>
      </c>
      <c r="B2" t="s">
        <v>12</v>
      </c>
      <c r="C2">
        <v>20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 x14ac:dyDescent="0.3">
      <c r="A3">
        <v>1382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29</v>
      </c>
      <c r="J3" t="s">
        <v>30</v>
      </c>
      <c r="K3" t="s">
        <v>20</v>
      </c>
      <c r="L3" t="s">
        <v>31</v>
      </c>
    </row>
    <row r="4" spans="1:12" x14ac:dyDescent="0.3">
      <c r="A4">
        <v>1322</v>
      </c>
      <c r="B4" t="s">
        <v>32</v>
      </c>
      <c r="C4">
        <v>25</v>
      </c>
      <c r="D4" t="s">
        <v>33</v>
      </c>
      <c r="E4" t="s">
        <v>34</v>
      </c>
      <c r="F4" t="s">
        <v>35</v>
      </c>
      <c r="G4" t="s">
        <v>36</v>
      </c>
      <c r="H4" t="s">
        <v>37</v>
      </c>
      <c r="I4" t="s">
        <v>38</v>
      </c>
      <c r="J4" t="s">
        <v>39</v>
      </c>
      <c r="K4" t="s">
        <v>40</v>
      </c>
      <c r="L4" t="s">
        <v>41</v>
      </c>
    </row>
    <row r="5" spans="1:12" x14ac:dyDescent="0.3">
      <c r="A5">
        <v>1476</v>
      </c>
      <c r="B5" t="s">
        <v>12</v>
      </c>
      <c r="C5">
        <v>21</v>
      </c>
      <c r="D5" t="s">
        <v>42</v>
      </c>
      <c r="E5" t="s">
        <v>43</v>
      </c>
      <c r="F5" t="s">
        <v>44</v>
      </c>
      <c r="G5" t="s">
        <v>23</v>
      </c>
      <c r="H5" t="s">
        <v>17</v>
      </c>
      <c r="I5" t="s">
        <v>45</v>
      </c>
      <c r="J5" t="s">
        <v>46</v>
      </c>
      <c r="K5" t="s">
        <v>33</v>
      </c>
      <c r="L5" t="s">
        <v>41</v>
      </c>
    </row>
    <row r="6" spans="1:12" x14ac:dyDescent="0.3">
      <c r="A6">
        <v>1098</v>
      </c>
      <c r="B6" t="s">
        <v>47</v>
      </c>
      <c r="C6">
        <v>19</v>
      </c>
      <c r="D6" t="s">
        <v>33</v>
      </c>
      <c r="E6" t="s">
        <v>48</v>
      </c>
      <c r="F6" t="s">
        <v>49</v>
      </c>
      <c r="G6" t="s">
        <v>50</v>
      </c>
      <c r="H6" t="s">
        <v>17</v>
      </c>
      <c r="I6" t="s">
        <v>51</v>
      </c>
      <c r="J6" t="s">
        <v>52</v>
      </c>
      <c r="K6" t="s">
        <v>53</v>
      </c>
      <c r="L6" t="s">
        <v>54</v>
      </c>
    </row>
    <row r="7" spans="1:12" x14ac:dyDescent="0.3">
      <c r="A7">
        <v>1230</v>
      </c>
      <c r="B7" t="s">
        <v>12</v>
      </c>
      <c r="C7">
        <v>21</v>
      </c>
      <c r="D7" t="s">
        <v>55</v>
      </c>
      <c r="E7" t="s">
        <v>43</v>
      </c>
      <c r="F7" t="s">
        <v>56</v>
      </c>
      <c r="G7" t="s">
        <v>57</v>
      </c>
      <c r="H7" t="s">
        <v>17</v>
      </c>
      <c r="I7" t="s">
        <v>58</v>
      </c>
      <c r="J7" t="s">
        <v>59</v>
      </c>
      <c r="K7" t="s">
        <v>60</v>
      </c>
      <c r="L7" t="s">
        <v>61</v>
      </c>
    </row>
    <row r="8" spans="1:12" x14ac:dyDescent="0.3">
      <c r="A8">
        <v>1017</v>
      </c>
      <c r="B8" t="s">
        <v>12</v>
      </c>
      <c r="C8" t="s">
        <v>62</v>
      </c>
      <c r="D8" t="s">
        <v>63</v>
      </c>
      <c r="E8" t="s">
        <v>64</v>
      </c>
      <c r="F8" t="s">
        <v>65</v>
      </c>
      <c r="G8" t="s">
        <v>66</v>
      </c>
      <c r="H8" t="s">
        <v>37</v>
      </c>
      <c r="I8" t="s">
        <v>67</v>
      </c>
      <c r="J8" t="s">
        <v>68</v>
      </c>
      <c r="K8" t="s">
        <v>53</v>
      </c>
      <c r="L8" t="s">
        <v>21</v>
      </c>
    </row>
    <row r="9" spans="1:12" x14ac:dyDescent="0.3">
      <c r="A9">
        <v>1083</v>
      </c>
      <c r="B9" t="s">
        <v>32</v>
      </c>
      <c r="C9">
        <v>21</v>
      </c>
      <c r="D9" t="s">
        <v>69</v>
      </c>
      <c r="E9" t="s">
        <v>48</v>
      </c>
      <c r="F9" t="s">
        <v>70</v>
      </c>
      <c r="G9" t="s">
        <v>71</v>
      </c>
      <c r="H9" t="s">
        <v>37</v>
      </c>
      <c r="I9" t="s">
        <v>72</v>
      </c>
      <c r="J9" t="s">
        <v>73</v>
      </c>
      <c r="K9" t="s">
        <v>33</v>
      </c>
      <c r="L9" t="s">
        <v>31</v>
      </c>
    </row>
    <row r="10" spans="1:12" x14ac:dyDescent="0.3">
      <c r="A10">
        <v>1106</v>
      </c>
      <c r="B10" t="s">
        <v>74</v>
      </c>
      <c r="C10">
        <v>24</v>
      </c>
      <c r="D10" t="s">
        <v>24</v>
      </c>
      <c r="E10" t="s">
        <v>34</v>
      </c>
      <c r="F10" t="s">
        <v>75</v>
      </c>
      <c r="G10" t="s">
        <v>71</v>
      </c>
      <c r="H10" t="s">
        <v>76</v>
      </c>
      <c r="I10" t="s">
        <v>77</v>
      </c>
      <c r="J10" t="s">
        <v>67</v>
      </c>
      <c r="K10" t="s">
        <v>40</v>
      </c>
      <c r="L10" t="s">
        <v>78</v>
      </c>
    </row>
    <row r="11" spans="1:12" x14ac:dyDescent="0.3">
      <c r="A11">
        <v>1123</v>
      </c>
      <c r="B11" t="s">
        <v>79</v>
      </c>
      <c r="C11">
        <v>20</v>
      </c>
      <c r="D11" t="s">
        <v>42</v>
      </c>
      <c r="E11" t="s">
        <v>80</v>
      </c>
      <c r="F11" t="s">
        <v>81</v>
      </c>
      <c r="G11" t="s">
        <v>71</v>
      </c>
      <c r="H11" t="s">
        <v>17</v>
      </c>
      <c r="I11" t="s">
        <v>82</v>
      </c>
      <c r="J11" t="s">
        <v>83</v>
      </c>
      <c r="K11" t="s">
        <v>53</v>
      </c>
      <c r="L11" t="s">
        <v>41</v>
      </c>
    </row>
    <row r="12" spans="1:12" x14ac:dyDescent="0.3">
      <c r="A12">
        <v>1057</v>
      </c>
      <c r="B12" t="s">
        <v>32</v>
      </c>
      <c r="C12">
        <v>21</v>
      </c>
      <c r="D12" t="s">
        <v>63</v>
      </c>
      <c r="E12" t="s">
        <v>84</v>
      </c>
      <c r="F12" t="s">
        <v>85</v>
      </c>
      <c r="G12" t="s">
        <v>86</v>
      </c>
      <c r="H12" t="s">
        <v>76</v>
      </c>
      <c r="I12" t="s">
        <v>87</v>
      </c>
      <c r="J12" t="s">
        <v>88</v>
      </c>
      <c r="K12" t="s">
        <v>53</v>
      </c>
      <c r="L12" t="s">
        <v>21</v>
      </c>
    </row>
    <row r="13" spans="1:12" x14ac:dyDescent="0.3">
      <c r="A13">
        <v>1214</v>
      </c>
      <c r="B13" t="s">
        <v>79</v>
      </c>
      <c r="C13">
        <v>19</v>
      </c>
      <c r="D13" t="s">
        <v>42</v>
      </c>
      <c r="E13" t="s">
        <v>84</v>
      </c>
      <c r="F13" t="s">
        <v>89</v>
      </c>
      <c r="G13" t="s">
        <v>23</v>
      </c>
      <c r="H13" t="s">
        <v>90</v>
      </c>
      <c r="I13" t="s">
        <v>91</v>
      </c>
      <c r="J13" t="s">
        <v>92</v>
      </c>
      <c r="K13" t="s">
        <v>40</v>
      </c>
      <c r="L13" t="s">
        <v>54</v>
      </c>
    </row>
    <row r="14" spans="1:12" x14ac:dyDescent="0.3">
      <c r="A14">
        <v>1225</v>
      </c>
      <c r="B14" t="s">
        <v>32</v>
      </c>
      <c r="C14" t="s">
        <v>62</v>
      </c>
      <c r="D14" t="s">
        <v>13</v>
      </c>
      <c r="E14" t="s">
        <v>25</v>
      </c>
      <c r="F14" t="s">
        <v>93</v>
      </c>
      <c r="G14" t="s">
        <v>66</v>
      </c>
      <c r="H14" t="s">
        <v>37</v>
      </c>
      <c r="I14" t="s">
        <v>94</v>
      </c>
      <c r="J14" t="s">
        <v>95</v>
      </c>
      <c r="K14" t="s">
        <v>96</v>
      </c>
      <c r="L14" t="s">
        <v>21</v>
      </c>
    </row>
    <row r="15" spans="1:12" x14ac:dyDescent="0.3">
      <c r="A15">
        <v>1096</v>
      </c>
      <c r="B15" t="s">
        <v>47</v>
      </c>
      <c r="C15" t="s">
        <v>97</v>
      </c>
      <c r="D15" t="s">
        <v>42</v>
      </c>
      <c r="E15" t="s">
        <v>25</v>
      </c>
      <c r="F15" t="s">
        <v>98</v>
      </c>
      <c r="G15" t="s">
        <v>66</v>
      </c>
      <c r="H15" t="s">
        <v>90</v>
      </c>
      <c r="I15" t="s">
        <v>99</v>
      </c>
      <c r="J15" t="s">
        <v>100</v>
      </c>
      <c r="K15" t="s">
        <v>96</v>
      </c>
      <c r="L15" t="s">
        <v>101</v>
      </c>
    </row>
    <row r="16" spans="1:12" x14ac:dyDescent="0.3">
      <c r="A16">
        <v>1113</v>
      </c>
      <c r="B16" t="s">
        <v>47</v>
      </c>
      <c r="C16">
        <v>18</v>
      </c>
      <c r="D16" t="s">
        <v>102</v>
      </c>
      <c r="E16" t="s">
        <v>43</v>
      </c>
      <c r="F16" t="s">
        <v>103</v>
      </c>
      <c r="G16" t="s">
        <v>50</v>
      </c>
      <c r="H16" t="s">
        <v>104</v>
      </c>
      <c r="I16" t="s">
        <v>105</v>
      </c>
      <c r="J16" t="s">
        <v>106</v>
      </c>
      <c r="K16" t="s">
        <v>33</v>
      </c>
      <c r="L16" t="s">
        <v>61</v>
      </c>
    </row>
    <row r="17" spans="1:12" x14ac:dyDescent="0.3">
      <c r="A17">
        <v>1126</v>
      </c>
      <c r="B17" t="s">
        <v>107</v>
      </c>
      <c r="C17">
        <v>20</v>
      </c>
      <c r="D17" t="s">
        <v>108</v>
      </c>
      <c r="E17" t="s">
        <v>34</v>
      </c>
      <c r="F17" t="s">
        <v>109</v>
      </c>
      <c r="G17" t="s">
        <v>27</v>
      </c>
      <c r="H17" t="s">
        <v>110</v>
      </c>
      <c r="I17" t="s">
        <v>111</v>
      </c>
      <c r="J17" t="s">
        <v>112</v>
      </c>
      <c r="K17" t="s">
        <v>33</v>
      </c>
      <c r="L17" t="s">
        <v>54</v>
      </c>
    </row>
    <row r="18" spans="1:12" x14ac:dyDescent="0.3">
      <c r="A18">
        <v>1047</v>
      </c>
      <c r="B18" t="s">
        <v>32</v>
      </c>
      <c r="C18">
        <v>21</v>
      </c>
      <c r="D18" t="s">
        <v>63</v>
      </c>
      <c r="E18" t="s">
        <v>80</v>
      </c>
      <c r="F18" t="s">
        <v>113</v>
      </c>
      <c r="G18" t="s">
        <v>66</v>
      </c>
      <c r="H18" t="s">
        <v>17</v>
      </c>
      <c r="I18" t="s">
        <v>114</v>
      </c>
      <c r="J18" t="s">
        <v>115</v>
      </c>
      <c r="K18" t="s">
        <v>40</v>
      </c>
      <c r="L18" t="s">
        <v>116</v>
      </c>
    </row>
    <row r="19" spans="1:12" x14ac:dyDescent="0.3">
      <c r="A19">
        <v>1073</v>
      </c>
      <c r="B19" t="s">
        <v>117</v>
      </c>
      <c r="C19">
        <v>25</v>
      </c>
      <c r="D19" t="s">
        <v>63</v>
      </c>
      <c r="E19" t="s">
        <v>84</v>
      </c>
      <c r="F19" t="s">
        <v>118</v>
      </c>
      <c r="G19" t="s">
        <v>86</v>
      </c>
      <c r="H19" t="s">
        <v>76</v>
      </c>
      <c r="I19" t="s">
        <v>18</v>
      </c>
      <c r="J19" t="s">
        <v>119</v>
      </c>
      <c r="K19" t="s">
        <v>20</v>
      </c>
      <c r="L19" t="s">
        <v>101</v>
      </c>
    </row>
    <row r="20" spans="1:12" x14ac:dyDescent="0.3">
      <c r="A20">
        <v>1032</v>
      </c>
      <c r="B20" t="s">
        <v>120</v>
      </c>
      <c r="C20" t="s">
        <v>23</v>
      </c>
      <c r="D20" t="s">
        <v>69</v>
      </c>
      <c r="E20" t="s">
        <v>121</v>
      </c>
      <c r="F20" t="s">
        <v>122</v>
      </c>
      <c r="G20" t="s">
        <v>57</v>
      </c>
      <c r="H20" t="s">
        <v>110</v>
      </c>
      <c r="I20" t="s">
        <v>123</v>
      </c>
      <c r="J20" t="s">
        <v>124</v>
      </c>
      <c r="K20" t="s">
        <v>53</v>
      </c>
      <c r="L20" t="s">
        <v>31</v>
      </c>
    </row>
    <row r="21" spans="1:12" x14ac:dyDescent="0.3">
      <c r="A21">
        <v>1430</v>
      </c>
      <c r="B21" t="s">
        <v>22</v>
      </c>
      <c r="C21" t="s">
        <v>62</v>
      </c>
      <c r="D21" t="s">
        <v>13</v>
      </c>
      <c r="E21" t="s">
        <v>84</v>
      </c>
      <c r="F21" t="s">
        <v>125</v>
      </c>
      <c r="G21" t="s">
        <v>66</v>
      </c>
      <c r="H21" t="s">
        <v>76</v>
      </c>
      <c r="I21" t="s">
        <v>126</v>
      </c>
      <c r="J21" t="s">
        <v>127</v>
      </c>
      <c r="K21" t="s">
        <v>53</v>
      </c>
      <c r="L21" t="s">
        <v>116</v>
      </c>
    </row>
    <row r="22" spans="1:12" x14ac:dyDescent="0.3">
      <c r="A22">
        <v>1224</v>
      </c>
      <c r="B22" t="s">
        <v>74</v>
      </c>
      <c r="C22" t="s">
        <v>128</v>
      </c>
      <c r="D22" t="s">
        <v>13</v>
      </c>
      <c r="E22" t="s">
        <v>48</v>
      </c>
      <c r="F22" t="s">
        <v>129</v>
      </c>
      <c r="G22" t="s">
        <v>86</v>
      </c>
      <c r="H22" t="s">
        <v>130</v>
      </c>
      <c r="I22" t="s">
        <v>131</v>
      </c>
      <c r="J22" t="s">
        <v>132</v>
      </c>
      <c r="K22" t="s">
        <v>96</v>
      </c>
      <c r="L22" t="s">
        <v>54</v>
      </c>
    </row>
    <row r="23" spans="1:12" x14ac:dyDescent="0.3">
      <c r="A23">
        <v>1111</v>
      </c>
      <c r="B23" t="s">
        <v>74</v>
      </c>
      <c r="C23" t="s">
        <v>23</v>
      </c>
      <c r="D23" t="s">
        <v>102</v>
      </c>
      <c r="E23" t="s">
        <v>121</v>
      </c>
      <c r="F23" t="s">
        <v>133</v>
      </c>
      <c r="G23" t="s">
        <v>36</v>
      </c>
      <c r="H23" t="s">
        <v>17</v>
      </c>
      <c r="I23" t="s">
        <v>134</v>
      </c>
      <c r="J23" t="s">
        <v>135</v>
      </c>
      <c r="K23" t="s">
        <v>20</v>
      </c>
      <c r="L23" t="s">
        <v>41</v>
      </c>
    </row>
    <row r="24" spans="1:12" x14ac:dyDescent="0.3">
      <c r="A24">
        <v>1409</v>
      </c>
      <c r="B24" t="s">
        <v>136</v>
      </c>
      <c r="C24">
        <v>20</v>
      </c>
      <c r="D24" t="s">
        <v>102</v>
      </c>
      <c r="E24" t="s">
        <v>84</v>
      </c>
      <c r="F24" t="s">
        <v>137</v>
      </c>
      <c r="G24" t="s">
        <v>71</v>
      </c>
      <c r="H24" t="s">
        <v>104</v>
      </c>
      <c r="I24" t="s">
        <v>138</v>
      </c>
      <c r="J24" t="s">
        <v>139</v>
      </c>
      <c r="K24" t="s">
        <v>20</v>
      </c>
      <c r="L24" t="s">
        <v>61</v>
      </c>
    </row>
    <row r="25" spans="1:12" x14ac:dyDescent="0.3">
      <c r="A25">
        <v>1339</v>
      </c>
      <c r="B25" t="s">
        <v>136</v>
      </c>
      <c r="C25">
        <v>25</v>
      </c>
      <c r="D25" t="s">
        <v>108</v>
      </c>
      <c r="E25" t="s">
        <v>121</v>
      </c>
      <c r="F25" t="s">
        <v>140</v>
      </c>
      <c r="G25" t="s">
        <v>141</v>
      </c>
      <c r="H25" t="s">
        <v>142</v>
      </c>
      <c r="I25" t="s">
        <v>45</v>
      </c>
      <c r="J25" t="s">
        <v>143</v>
      </c>
      <c r="K25" t="s">
        <v>96</v>
      </c>
      <c r="L25" t="s">
        <v>101</v>
      </c>
    </row>
    <row r="26" spans="1:12" x14ac:dyDescent="0.3">
      <c r="A26">
        <v>1334</v>
      </c>
      <c r="B26" t="s">
        <v>107</v>
      </c>
      <c r="C26" t="s">
        <v>62</v>
      </c>
      <c r="D26" t="s">
        <v>69</v>
      </c>
      <c r="E26" t="s">
        <v>14</v>
      </c>
      <c r="F26" t="s">
        <v>144</v>
      </c>
      <c r="G26" t="s">
        <v>16</v>
      </c>
      <c r="H26" t="s">
        <v>28</v>
      </c>
      <c r="I26" t="s">
        <v>139</v>
      </c>
      <c r="J26" t="s">
        <v>145</v>
      </c>
      <c r="K26" t="s">
        <v>96</v>
      </c>
      <c r="L26" t="s">
        <v>41</v>
      </c>
    </row>
    <row r="27" spans="1:12" x14ac:dyDescent="0.3">
      <c r="A27">
        <v>1253</v>
      </c>
      <c r="B27" t="s">
        <v>120</v>
      </c>
      <c r="C27">
        <v>25</v>
      </c>
      <c r="D27" t="s">
        <v>24</v>
      </c>
      <c r="E27" t="s">
        <v>34</v>
      </c>
      <c r="F27" t="s">
        <v>146</v>
      </c>
      <c r="G27" t="s">
        <v>36</v>
      </c>
      <c r="H27" t="s">
        <v>142</v>
      </c>
      <c r="I27" t="s">
        <v>147</v>
      </c>
      <c r="J27" t="s">
        <v>148</v>
      </c>
      <c r="K27" t="s">
        <v>53</v>
      </c>
      <c r="L27" t="s">
        <v>21</v>
      </c>
    </row>
    <row r="28" spans="1:12" x14ac:dyDescent="0.3">
      <c r="A28">
        <v>1420</v>
      </c>
      <c r="B28" t="s">
        <v>22</v>
      </c>
      <c r="C28">
        <v>19</v>
      </c>
      <c r="D28" t="s">
        <v>33</v>
      </c>
      <c r="E28" t="s">
        <v>121</v>
      </c>
      <c r="F28" t="s">
        <v>149</v>
      </c>
      <c r="G28" t="s">
        <v>71</v>
      </c>
      <c r="H28" t="s">
        <v>90</v>
      </c>
      <c r="I28" t="s">
        <v>150</v>
      </c>
      <c r="J28" t="s">
        <v>151</v>
      </c>
      <c r="K28" t="s">
        <v>33</v>
      </c>
      <c r="L28" t="s">
        <v>54</v>
      </c>
    </row>
    <row r="29" spans="1:12" x14ac:dyDescent="0.3">
      <c r="A29">
        <v>1096</v>
      </c>
      <c r="B29" t="s">
        <v>79</v>
      </c>
      <c r="C29" t="s">
        <v>23</v>
      </c>
      <c r="D29" t="s">
        <v>63</v>
      </c>
      <c r="E29" t="s">
        <v>121</v>
      </c>
      <c r="F29" t="s">
        <v>152</v>
      </c>
      <c r="G29" t="s">
        <v>27</v>
      </c>
      <c r="H29" t="s">
        <v>104</v>
      </c>
      <c r="I29" t="s">
        <v>153</v>
      </c>
      <c r="J29" t="s">
        <v>154</v>
      </c>
      <c r="K29" t="s">
        <v>33</v>
      </c>
      <c r="L29" t="s">
        <v>54</v>
      </c>
    </row>
    <row r="30" spans="1:12" x14ac:dyDescent="0.3">
      <c r="A30">
        <v>1208</v>
      </c>
      <c r="B30" t="s">
        <v>155</v>
      </c>
      <c r="C30">
        <v>22</v>
      </c>
      <c r="D30" t="s">
        <v>13</v>
      </c>
      <c r="E30" t="s">
        <v>156</v>
      </c>
      <c r="F30" t="s">
        <v>157</v>
      </c>
      <c r="G30" t="s">
        <v>66</v>
      </c>
      <c r="H30" t="s">
        <v>37</v>
      </c>
      <c r="I30" t="s">
        <v>158</v>
      </c>
      <c r="J30" t="s">
        <v>159</v>
      </c>
      <c r="K30" t="s">
        <v>33</v>
      </c>
      <c r="L30" t="s">
        <v>101</v>
      </c>
    </row>
    <row r="31" spans="1:12" x14ac:dyDescent="0.3">
      <c r="A31">
        <v>1068</v>
      </c>
      <c r="B31" t="s">
        <v>107</v>
      </c>
      <c r="D31" t="s">
        <v>102</v>
      </c>
      <c r="E31" t="s">
        <v>48</v>
      </c>
      <c r="F31" t="s">
        <v>160</v>
      </c>
      <c r="G31" t="s">
        <v>71</v>
      </c>
      <c r="H31" t="s">
        <v>142</v>
      </c>
      <c r="I31" t="s">
        <v>161</v>
      </c>
      <c r="J31" t="s">
        <v>162</v>
      </c>
      <c r="K31" t="s">
        <v>33</v>
      </c>
      <c r="L31" t="s">
        <v>31</v>
      </c>
    </row>
    <row r="32" spans="1:12" x14ac:dyDescent="0.3">
      <c r="A32">
        <v>1305</v>
      </c>
      <c r="B32" t="s">
        <v>163</v>
      </c>
      <c r="C32" t="s">
        <v>23</v>
      </c>
      <c r="D32" t="s">
        <v>24</v>
      </c>
      <c r="E32" t="s">
        <v>34</v>
      </c>
      <c r="F32" t="s">
        <v>164</v>
      </c>
      <c r="G32" t="s">
        <v>57</v>
      </c>
      <c r="H32" t="s">
        <v>17</v>
      </c>
      <c r="I32" t="s">
        <v>165</v>
      </c>
      <c r="J32" t="s">
        <v>166</v>
      </c>
      <c r="K32" t="s">
        <v>33</v>
      </c>
      <c r="L32" t="s">
        <v>78</v>
      </c>
    </row>
    <row r="33" spans="1:12" x14ac:dyDescent="0.3">
      <c r="A33">
        <v>1311</v>
      </c>
      <c r="B33" t="s">
        <v>107</v>
      </c>
      <c r="C33" t="s">
        <v>128</v>
      </c>
      <c r="D33" t="s">
        <v>102</v>
      </c>
      <c r="E33" t="s">
        <v>167</v>
      </c>
      <c r="F33" t="s">
        <v>168</v>
      </c>
      <c r="G33" t="s">
        <v>57</v>
      </c>
      <c r="H33" t="s">
        <v>90</v>
      </c>
      <c r="I33" t="s">
        <v>169</v>
      </c>
      <c r="J33" t="s">
        <v>170</v>
      </c>
      <c r="K33" t="s">
        <v>60</v>
      </c>
      <c r="L33" t="s">
        <v>21</v>
      </c>
    </row>
    <row r="34" spans="1:12" x14ac:dyDescent="0.3">
      <c r="A34">
        <v>1451</v>
      </c>
      <c r="B34" t="s">
        <v>79</v>
      </c>
      <c r="C34">
        <v>25</v>
      </c>
      <c r="D34" t="s">
        <v>69</v>
      </c>
      <c r="E34" t="s">
        <v>34</v>
      </c>
      <c r="F34" t="s">
        <v>171</v>
      </c>
      <c r="G34" t="s">
        <v>16</v>
      </c>
      <c r="H34" t="s">
        <v>28</v>
      </c>
      <c r="I34" t="s">
        <v>172</v>
      </c>
      <c r="J34" t="s">
        <v>173</v>
      </c>
      <c r="K34" t="s">
        <v>40</v>
      </c>
      <c r="L34" t="s">
        <v>78</v>
      </c>
    </row>
    <row r="35" spans="1:12" x14ac:dyDescent="0.3">
      <c r="A35">
        <v>1002</v>
      </c>
      <c r="B35" t="s">
        <v>32</v>
      </c>
      <c r="C35">
        <v>22</v>
      </c>
      <c r="D35" t="s">
        <v>69</v>
      </c>
      <c r="E35" t="s">
        <v>43</v>
      </c>
      <c r="F35" t="s">
        <v>174</v>
      </c>
      <c r="G35" t="s">
        <v>16</v>
      </c>
      <c r="H35" t="s">
        <v>76</v>
      </c>
      <c r="I35" t="s">
        <v>175</v>
      </c>
      <c r="J35" t="s">
        <v>176</v>
      </c>
      <c r="K35" t="s">
        <v>33</v>
      </c>
      <c r="L35" t="s">
        <v>78</v>
      </c>
    </row>
    <row r="36" spans="1:12" x14ac:dyDescent="0.3">
      <c r="A36">
        <v>1340</v>
      </c>
      <c r="B36" t="s">
        <v>155</v>
      </c>
      <c r="C36">
        <v>25</v>
      </c>
      <c r="D36" t="s">
        <v>13</v>
      </c>
      <c r="E36" t="s">
        <v>14</v>
      </c>
      <c r="F36" t="s">
        <v>177</v>
      </c>
      <c r="G36" t="s">
        <v>86</v>
      </c>
      <c r="H36" t="s">
        <v>110</v>
      </c>
      <c r="I36" t="s">
        <v>178</v>
      </c>
      <c r="J36" t="s">
        <v>179</v>
      </c>
      <c r="K36" t="s">
        <v>53</v>
      </c>
      <c r="L36" t="s">
        <v>116</v>
      </c>
    </row>
    <row r="37" spans="1:12" x14ac:dyDescent="0.3">
      <c r="A37">
        <v>1039</v>
      </c>
      <c r="B37" t="s">
        <v>12</v>
      </c>
      <c r="C37" t="s">
        <v>97</v>
      </c>
      <c r="D37" t="s">
        <v>33</v>
      </c>
      <c r="E37" t="s">
        <v>43</v>
      </c>
      <c r="F37" t="s">
        <v>180</v>
      </c>
      <c r="G37" t="s">
        <v>141</v>
      </c>
      <c r="H37" t="s">
        <v>90</v>
      </c>
      <c r="I37" t="s">
        <v>181</v>
      </c>
      <c r="J37" t="s">
        <v>182</v>
      </c>
      <c r="K37" t="s">
        <v>33</v>
      </c>
      <c r="L37" t="s">
        <v>78</v>
      </c>
    </row>
    <row r="38" spans="1:12" x14ac:dyDescent="0.3">
      <c r="A38">
        <v>1322</v>
      </c>
      <c r="B38" t="s">
        <v>136</v>
      </c>
      <c r="C38" t="s">
        <v>23</v>
      </c>
      <c r="D38" t="s">
        <v>24</v>
      </c>
      <c r="E38" t="s">
        <v>84</v>
      </c>
      <c r="F38" t="s">
        <v>183</v>
      </c>
      <c r="G38" t="s">
        <v>141</v>
      </c>
      <c r="H38" t="s">
        <v>142</v>
      </c>
      <c r="I38" t="s">
        <v>184</v>
      </c>
      <c r="J38" t="s">
        <v>185</v>
      </c>
      <c r="K38" t="s">
        <v>53</v>
      </c>
      <c r="L38" t="s">
        <v>54</v>
      </c>
    </row>
    <row r="39" spans="1:12" x14ac:dyDescent="0.3">
      <c r="A39">
        <v>1084</v>
      </c>
      <c r="B39" t="s">
        <v>47</v>
      </c>
      <c r="C39">
        <v>18</v>
      </c>
      <c r="D39" t="s">
        <v>13</v>
      </c>
      <c r="E39" t="s">
        <v>43</v>
      </c>
      <c r="F39" t="s">
        <v>186</v>
      </c>
      <c r="G39" t="s">
        <v>141</v>
      </c>
      <c r="H39" t="s">
        <v>104</v>
      </c>
      <c r="I39" t="s">
        <v>187</v>
      </c>
      <c r="J39" t="s">
        <v>188</v>
      </c>
      <c r="K39" t="s">
        <v>53</v>
      </c>
      <c r="L39" t="s">
        <v>31</v>
      </c>
    </row>
    <row r="40" spans="1:12" x14ac:dyDescent="0.3">
      <c r="A40">
        <v>1047</v>
      </c>
      <c r="B40" t="s">
        <v>120</v>
      </c>
      <c r="C40">
        <v>20</v>
      </c>
      <c r="D40" t="s">
        <v>42</v>
      </c>
      <c r="E40" t="s">
        <v>43</v>
      </c>
      <c r="F40" t="s">
        <v>189</v>
      </c>
      <c r="G40" t="s">
        <v>141</v>
      </c>
      <c r="H40" t="s">
        <v>76</v>
      </c>
      <c r="I40" t="s">
        <v>190</v>
      </c>
      <c r="J40" t="s">
        <v>191</v>
      </c>
      <c r="K40" t="s">
        <v>60</v>
      </c>
      <c r="L40" t="s">
        <v>101</v>
      </c>
    </row>
    <row r="41" spans="1:12" x14ac:dyDescent="0.3">
      <c r="A41">
        <v>1445</v>
      </c>
      <c r="B41" t="s">
        <v>47</v>
      </c>
      <c r="C41">
        <v>25</v>
      </c>
      <c r="D41" t="s">
        <v>69</v>
      </c>
      <c r="E41" t="s">
        <v>64</v>
      </c>
      <c r="F41" t="s">
        <v>192</v>
      </c>
      <c r="G41" t="s">
        <v>16</v>
      </c>
      <c r="H41" t="s">
        <v>76</v>
      </c>
      <c r="I41" t="s">
        <v>193</v>
      </c>
      <c r="J41" t="s">
        <v>194</v>
      </c>
      <c r="K41" t="s">
        <v>40</v>
      </c>
      <c r="L41" t="s">
        <v>31</v>
      </c>
    </row>
    <row r="42" spans="1:12" x14ac:dyDescent="0.3">
      <c r="A42">
        <v>1176</v>
      </c>
      <c r="B42" t="s">
        <v>74</v>
      </c>
      <c r="C42">
        <v>22</v>
      </c>
      <c r="D42" t="s">
        <v>102</v>
      </c>
      <c r="E42" t="s">
        <v>121</v>
      </c>
      <c r="F42" t="s">
        <v>195</v>
      </c>
      <c r="G42" t="s">
        <v>141</v>
      </c>
      <c r="H42" t="s">
        <v>90</v>
      </c>
      <c r="I42" t="s">
        <v>59</v>
      </c>
      <c r="J42" t="s">
        <v>196</v>
      </c>
      <c r="K42" t="s">
        <v>33</v>
      </c>
      <c r="L42" t="s">
        <v>41</v>
      </c>
    </row>
    <row r="43" spans="1:12" x14ac:dyDescent="0.3">
      <c r="A43">
        <v>1135</v>
      </c>
      <c r="B43" t="s">
        <v>32</v>
      </c>
      <c r="C43">
        <v>21</v>
      </c>
      <c r="D43" t="s">
        <v>42</v>
      </c>
      <c r="E43" t="s">
        <v>64</v>
      </c>
      <c r="F43" t="s">
        <v>197</v>
      </c>
      <c r="G43" t="s">
        <v>50</v>
      </c>
      <c r="H43" t="s">
        <v>28</v>
      </c>
      <c r="I43" t="s">
        <v>198</v>
      </c>
      <c r="J43" t="s">
        <v>199</v>
      </c>
      <c r="K43" t="s">
        <v>33</v>
      </c>
      <c r="L43" t="s">
        <v>78</v>
      </c>
    </row>
    <row r="44" spans="1:12" x14ac:dyDescent="0.3">
      <c r="A44">
        <v>1361</v>
      </c>
      <c r="B44" t="s">
        <v>74</v>
      </c>
      <c r="C44">
        <v>25</v>
      </c>
      <c r="D44" t="s">
        <v>55</v>
      </c>
      <c r="E44" t="s">
        <v>48</v>
      </c>
      <c r="F44" t="s">
        <v>200</v>
      </c>
      <c r="G44" t="s">
        <v>57</v>
      </c>
      <c r="H44" t="s">
        <v>130</v>
      </c>
      <c r="I44" t="s">
        <v>201</v>
      </c>
      <c r="J44" t="s">
        <v>202</v>
      </c>
      <c r="K44" t="s">
        <v>53</v>
      </c>
      <c r="L44" t="s">
        <v>116</v>
      </c>
    </row>
    <row r="45" spans="1:12" x14ac:dyDescent="0.3">
      <c r="A45">
        <v>1099</v>
      </c>
      <c r="B45" t="s">
        <v>155</v>
      </c>
      <c r="C45">
        <v>21</v>
      </c>
      <c r="D45" t="s">
        <v>24</v>
      </c>
      <c r="E45" t="s">
        <v>156</v>
      </c>
      <c r="F45" t="s">
        <v>203</v>
      </c>
      <c r="G45" t="s">
        <v>86</v>
      </c>
      <c r="H45" t="s">
        <v>37</v>
      </c>
      <c r="I45" t="s">
        <v>204</v>
      </c>
      <c r="J45" t="s">
        <v>205</v>
      </c>
      <c r="K45" t="s">
        <v>33</v>
      </c>
      <c r="L45" t="s">
        <v>78</v>
      </c>
    </row>
    <row r="46" spans="1:12" x14ac:dyDescent="0.3">
      <c r="A46">
        <v>1380</v>
      </c>
      <c r="B46" t="s">
        <v>107</v>
      </c>
      <c r="C46">
        <v>25</v>
      </c>
      <c r="D46" t="s">
        <v>55</v>
      </c>
      <c r="E46" t="s">
        <v>156</v>
      </c>
      <c r="F46" t="s">
        <v>206</v>
      </c>
      <c r="G46" t="s">
        <v>57</v>
      </c>
      <c r="H46" t="s">
        <v>76</v>
      </c>
      <c r="I46" t="s">
        <v>207</v>
      </c>
      <c r="J46" t="s">
        <v>208</v>
      </c>
      <c r="K46" t="s">
        <v>53</v>
      </c>
      <c r="L46" t="s">
        <v>41</v>
      </c>
    </row>
    <row r="47" spans="1:12" x14ac:dyDescent="0.3">
      <c r="A47">
        <v>1348</v>
      </c>
      <c r="B47" t="s">
        <v>163</v>
      </c>
      <c r="C47">
        <v>18</v>
      </c>
      <c r="D47" t="s">
        <v>63</v>
      </c>
      <c r="E47" t="s">
        <v>25</v>
      </c>
      <c r="F47" t="s">
        <v>209</v>
      </c>
      <c r="G47" t="s">
        <v>141</v>
      </c>
      <c r="H47" t="s">
        <v>142</v>
      </c>
      <c r="I47" t="s">
        <v>210</v>
      </c>
      <c r="J47" t="s">
        <v>211</v>
      </c>
      <c r="K47" t="s">
        <v>96</v>
      </c>
      <c r="L47" t="s">
        <v>61</v>
      </c>
    </row>
    <row r="48" spans="1:12" x14ac:dyDescent="0.3">
      <c r="A48">
        <v>1180</v>
      </c>
      <c r="B48" t="s">
        <v>74</v>
      </c>
      <c r="C48">
        <v>25</v>
      </c>
      <c r="D48" t="s">
        <v>63</v>
      </c>
      <c r="E48" t="s">
        <v>14</v>
      </c>
      <c r="F48" t="s">
        <v>212</v>
      </c>
      <c r="G48" t="s">
        <v>27</v>
      </c>
      <c r="H48" t="s">
        <v>90</v>
      </c>
      <c r="I48" t="s">
        <v>213</v>
      </c>
      <c r="J48" t="s">
        <v>214</v>
      </c>
      <c r="K48" t="s">
        <v>96</v>
      </c>
      <c r="L48" t="s">
        <v>61</v>
      </c>
    </row>
    <row r="49" spans="1:12" x14ac:dyDescent="0.3">
      <c r="A49">
        <v>1358</v>
      </c>
      <c r="B49" t="s">
        <v>107</v>
      </c>
      <c r="C49">
        <v>24</v>
      </c>
      <c r="D49" t="s">
        <v>24</v>
      </c>
      <c r="E49" t="s">
        <v>80</v>
      </c>
      <c r="F49" t="s">
        <v>215</v>
      </c>
      <c r="G49" t="s">
        <v>86</v>
      </c>
      <c r="H49" t="s">
        <v>17</v>
      </c>
      <c r="I49" t="s">
        <v>94</v>
      </c>
      <c r="J49" t="s">
        <v>216</v>
      </c>
      <c r="K49" t="s">
        <v>53</v>
      </c>
      <c r="L49" t="s">
        <v>101</v>
      </c>
    </row>
    <row r="50" spans="1:12" x14ac:dyDescent="0.3">
      <c r="A50">
        <v>1353</v>
      </c>
      <c r="B50" t="s">
        <v>79</v>
      </c>
      <c r="C50" t="s">
        <v>97</v>
      </c>
      <c r="D50" t="s">
        <v>102</v>
      </c>
      <c r="E50" t="s">
        <v>84</v>
      </c>
      <c r="F50" t="s">
        <v>217</v>
      </c>
      <c r="G50" t="s">
        <v>71</v>
      </c>
      <c r="H50" t="s">
        <v>218</v>
      </c>
      <c r="I50" t="s">
        <v>216</v>
      </c>
      <c r="J50" t="s">
        <v>219</v>
      </c>
      <c r="K50" t="s">
        <v>53</v>
      </c>
      <c r="L50" t="s">
        <v>61</v>
      </c>
    </row>
    <row r="51" spans="1:12" x14ac:dyDescent="0.3">
      <c r="A51">
        <v>1213</v>
      </c>
      <c r="B51" t="s">
        <v>163</v>
      </c>
      <c r="C51">
        <v>24</v>
      </c>
      <c r="D51" t="s">
        <v>24</v>
      </c>
      <c r="E51" t="s">
        <v>64</v>
      </c>
      <c r="F51" t="s">
        <v>220</v>
      </c>
      <c r="G51" t="s">
        <v>23</v>
      </c>
      <c r="H51" t="s">
        <v>37</v>
      </c>
      <c r="I51" t="s">
        <v>221</v>
      </c>
      <c r="J51" t="s">
        <v>222</v>
      </c>
      <c r="K51" t="s">
        <v>20</v>
      </c>
      <c r="L51" t="s">
        <v>78</v>
      </c>
    </row>
    <row r="52" spans="1:12" x14ac:dyDescent="0.3">
      <c r="A52">
        <v>1118</v>
      </c>
      <c r="B52" t="s">
        <v>12</v>
      </c>
      <c r="C52" t="s">
        <v>23</v>
      </c>
      <c r="D52" t="s">
        <v>24</v>
      </c>
      <c r="E52" t="s">
        <v>121</v>
      </c>
      <c r="F52" t="s">
        <v>223</v>
      </c>
      <c r="G52" t="s">
        <v>66</v>
      </c>
      <c r="H52" t="s">
        <v>130</v>
      </c>
      <c r="I52" t="s">
        <v>224</v>
      </c>
      <c r="J52" t="s">
        <v>225</v>
      </c>
      <c r="K52" t="s">
        <v>96</v>
      </c>
      <c r="L52" t="s">
        <v>31</v>
      </c>
    </row>
    <row r="53" spans="1:12" x14ac:dyDescent="0.3">
      <c r="A53">
        <v>1350</v>
      </c>
      <c r="B53" t="s">
        <v>155</v>
      </c>
      <c r="C53" t="s">
        <v>97</v>
      </c>
      <c r="D53" t="s">
        <v>42</v>
      </c>
      <c r="E53" t="s">
        <v>121</v>
      </c>
      <c r="F53" t="s">
        <v>226</v>
      </c>
      <c r="G53" t="s">
        <v>71</v>
      </c>
      <c r="H53" t="s">
        <v>218</v>
      </c>
      <c r="I53" t="s">
        <v>227</v>
      </c>
      <c r="J53" t="s">
        <v>228</v>
      </c>
      <c r="K53" t="s">
        <v>20</v>
      </c>
      <c r="L53" t="s">
        <v>21</v>
      </c>
    </row>
    <row r="54" spans="1:12" x14ac:dyDescent="0.3">
      <c r="A54">
        <v>1411</v>
      </c>
      <c r="B54" t="s">
        <v>12</v>
      </c>
      <c r="C54">
        <v>18</v>
      </c>
      <c r="D54" t="s">
        <v>42</v>
      </c>
      <c r="E54" t="s">
        <v>84</v>
      </c>
      <c r="F54" t="s">
        <v>229</v>
      </c>
      <c r="G54" t="s">
        <v>86</v>
      </c>
      <c r="H54" t="s">
        <v>90</v>
      </c>
      <c r="I54" t="s">
        <v>230</v>
      </c>
      <c r="J54" t="s">
        <v>231</v>
      </c>
      <c r="K54" t="s">
        <v>40</v>
      </c>
      <c r="L54" t="s">
        <v>41</v>
      </c>
    </row>
    <row r="55" spans="1:12" x14ac:dyDescent="0.3">
      <c r="A55">
        <v>1290</v>
      </c>
      <c r="B55" t="s">
        <v>22</v>
      </c>
      <c r="D55" t="s">
        <v>108</v>
      </c>
      <c r="E55" t="s">
        <v>25</v>
      </c>
      <c r="F55" t="s">
        <v>232</v>
      </c>
      <c r="G55" t="s">
        <v>23</v>
      </c>
      <c r="H55" t="s">
        <v>110</v>
      </c>
      <c r="I55" t="s">
        <v>233</v>
      </c>
      <c r="J55" t="s">
        <v>234</v>
      </c>
      <c r="K55" t="s">
        <v>60</v>
      </c>
      <c r="L55" t="s">
        <v>78</v>
      </c>
    </row>
    <row r="56" spans="1:12" x14ac:dyDescent="0.3">
      <c r="A56">
        <v>1481</v>
      </c>
      <c r="B56" t="s">
        <v>107</v>
      </c>
      <c r="C56">
        <v>23</v>
      </c>
      <c r="D56" t="s">
        <v>42</v>
      </c>
      <c r="E56" t="s">
        <v>156</v>
      </c>
      <c r="F56" t="s">
        <v>235</v>
      </c>
      <c r="G56" t="s">
        <v>16</v>
      </c>
      <c r="H56" t="s">
        <v>17</v>
      </c>
      <c r="I56" t="s">
        <v>236</v>
      </c>
      <c r="J56" t="s">
        <v>237</v>
      </c>
      <c r="K56" t="s">
        <v>20</v>
      </c>
      <c r="L56" t="s">
        <v>61</v>
      </c>
    </row>
    <row r="57" spans="1:12" x14ac:dyDescent="0.3">
      <c r="A57">
        <v>1076</v>
      </c>
      <c r="B57" t="s">
        <v>120</v>
      </c>
      <c r="C57">
        <v>21</v>
      </c>
      <c r="D57" t="s">
        <v>69</v>
      </c>
      <c r="E57" t="s">
        <v>64</v>
      </c>
      <c r="F57" t="s">
        <v>238</v>
      </c>
      <c r="G57" t="s">
        <v>36</v>
      </c>
      <c r="H57" t="s">
        <v>90</v>
      </c>
      <c r="I57" t="s">
        <v>239</v>
      </c>
      <c r="J57" t="s">
        <v>240</v>
      </c>
      <c r="K57" t="s">
        <v>40</v>
      </c>
      <c r="L57" t="s">
        <v>61</v>
      </c>
    </row>
    <row r="58" spans="1:12" x14ac:dyDescent="0.3">
      <c r="A58">
        <v>1168</v>
      </c>
      <c r="B58" t="s">
        <v>79</v>
      </c>
      <c r="C58">
        <v>20</v>
      </c>
      <c r="D58" t="s">
        <v>69</v>
      </c>
      <c r="E58" t="s">
        <v>34</v>
      </c>
      <c r="F58" t="s">
        <v>241</v>
      </c>
      <c r="G58" t="s">
        <v>23</v>
      </c>
      <c r="H58" t="s">
        <v>130</v>
      </c>
      <c r="I58" t="s">
        <v>201</v>
      </c>
      <c r="J58" t="s">
        <v>242</v>
      </c>
      <c r="K58" t="s">
        <v>20</v>
      </c>
      <c r="L58" t="s">
        <v>31</v>
      </c>
    </row>
    <row r="59" spans="1:12" x14ac:dyDescent="0.3">
      <c r="A59">
        <v>1387</v>
      </c>
      <c r="B59" t="s">
        <v>47</v>
      </c>
      <c r="C59">
        <v>22</v>
      </c>
      <c r="D59" t="s">
        <v>42</v>
      </c>
      <c r="E59" t="s">
        <v>156</v>
      </c>
      <c r="F59" t="s">
        <v>243</v>
      </c>
      <c r="G59" t="s">
        <v>36</v>
      </c>
      <c r="H59" t="s">
        <v>37</v>
      </c>
      <c r="I59" t="s">
        <v>244</v>
      </c>
      <c r="J59" t="s">
        <v>245</v>
      </c>
      <c r="K59" t="s">
        <v>40</v>
      </c>
      <c r="L59" t="s">
        <v>61</v>
      </c>
    </row>
    <row r="60" spans="1:12" x14ac:dyDescent="0.3">
      <c r="A60">
        <v>1106</v>
      </c>
      <c r="B60" t="s">
        <v>47</v>
      </c>
      <c r="C60">
        <v>21</v>
      </c>
      <c r="D60" t="s">
        <v>24</v>
      </c>
      <c r="E60" t="s">
        <v>64</v>
      </c>
      <c r="F60" t="s">
        <v>246</v>
      </c>
      <c r="G60" t="s">
        <v>66</v>
      </c>
      <c r="H60" t="s">
        <v>104</v>
      </c>
      <c r="I60" t="s">
        <v>247</v>
      </c>
      <c r="J60" t="s">
        <v>248</v>
      </c>
      <c r="K60" t="s">
        <v>20</v>
      </c>
      <c r="L60" t="s">
        <v>54</v>
      </c>
    </row>
    <row r="61" spans="1:12" x14ac:dyDescent="0.3">
      <c r="A61">
        <v>1325</v>
      </c>
      <c r="B61" t="s">
        <v>47</v>
      </c>
      <c r="C61">
        <v>21</v>
      </c>
      <c r="D61" t="s">
        <v>108</v>
      </c>
      <c r="E61" t="s">
        <v>34</v>
      </c>
      <c r="F61" t="s">
        <v>249</v>
      </c>
      <c r="G61" t="s">
        <v>27</v>
      </c>
      <c r="H61" t="s">
        <v>17</v>
      </c>
      <c r="I61" t="s">
        <v>127</v>
      </c>
      <c r="J61" t="s">
        <v>250</v>
      </c>
      <c r="K61" t="s">
        <v>60</v>
      </c>
      <c r="L61" t="s">
        <v>61</v>
      </c>
    </row>
    <row r="62" spans="1:12" x14ac:dyDescent="0.3">
      <c r="A62">
        <v>1064</v>
      </c>
      <c r="B62" t="s">
        <v>163</v>
      </c>
      <c r="C62" t="s">
        <v>62</v>
      </c>
      <c r="D62" t="s">
        <v>69</v>
      </c>
      <c r="E62" t="s">
        <v>48</v>
      </c>
      <c r="F62" t="s">
        <v>251</v>
      </c>
      <c r="G62" t="s">
        <v>71</v>
      </c>
      <c r="H62" t="s">
        <v>76</v>
      </c>
      <c r="I62" t="s">
        <v>252</v>
      </c>
      <c r="J62" t="s">
        <v>253</v>
      </c>
      <c r="K62" t="s">
        <v>40</v>
      </c>
      <c r="L62" t="s">
        <v>54</v>
      </c>
    </row>
    <row r="63" spans="1:12" x14ac:dyDescent="0.3">
      <c r="A63">
        <v>1331</v>
      </c>
      <c r="B63" t="s">
        <v>74</v>
      </c>
      <c r="C63">
        <v>25</v>
      </c>
      <c r="D63" t="s">
        <v>63</v>
      </c>
      <c r="E63" t="s">
        <v>64</v>
      </c>
      <c r="F63" t="s">
        <v>254</v>
      </c>
      <c r="G63" t="s">
        <v>71</v>
      </c>
      <c r="H63" t="s">
        <v>76</v>
      </c>
      <c r="I63" t="s">
        <v>213</v>
      </c>
      <c r="J63" t="s">
        <v>255</v>
      </c>
      <c r="K63" t="s">
        <v>53</v>
      </c>
      <c r="L63" t="s">
        <v>41</v>
      </c>
    </row>
    <row r="64" spans="1:12" x14ac:dyDescent="0.3">
      <c r="A64">
        <v>1418</v>
      </c>
      <c r="B64" t="s">
        <v>117</v>
      </c>
      <c r="C64">
        <v>19</v>
      </c>
      <c r="D64" t="s">
        <v>108</v>
      </c>
      <c r="E64" t="s">
        <v>84</v>
      </c>
      <c r="F64" t="s">
        <v>256</v>
      </c>
      <c r="G64" t="s">
        <v>66</v>
      </c>
      <c r="H64" t="s">
        <v>110</v>
      </c>
      <c r="I64" t="s">
        <v>257</v>
      </c>
      <c r="J64" t="s">
        <v>258</v>
      </c>
      <c r="K64" t="s">
        <v>20</v>
      </c>
      <c r="L64" t="s">
        <v>41</v>
      </c>
    </row>
    <row r="65" spans="1:12" x14ac:dyDescent="0.3">
      <c r="A65">
        <v>1314</v>
      </c>
      <c r="B65" t="s">
        <v>47</v>
      </c>
      <c r="C65" t="s">
        <v>97</v>
      </c>
      <c r="D65" t="s">
        <v>33</v>
      </c>
      <c r="E65" t="s">
        <v>25</v>
      </c>
      <c r="F65" t="s">
        <v>259</v>
      </c>
      <c r="G65" t="s">
        <v>66</v>
      </c>
      <c r="H65" t="s">
        <v>28</v>
      </c>
      <c r="I65" t="s">
        <v>260</v>
      </c>
      <c r="J65" t="s">
        <v>261</v>
      </c>
      <c r="K65" t="s">
        <v>53</v>
      </c>
      <c r="L65" t="s">
        <v>41</v>
      </c>
    </row>
    <row r="66" spans="1:12" x14ac:dyDescent="0.3">
      <c r="A66">
        <v>1394</v>
      </c>
      <c r="B66" t="s">
        <v>163</v>
      </c>
      <c r="C66">
        <v>18</v>
      </c>
      <c r="D66" t="s">
        <v>102</v>
      </c>
      <c r="E66" t="s">
        <v>80</v>
      </c>
      <c r="F66" t="s">
        <v>262</v>
      </c>
      <c r="G66" t="s">
        <v>141</v>
      </c>
      <c r="H66" t="s">
        <v>28</v>
      </c>
      <c r="I66" t="s">
        <v>263</v>
      </c>
      <c r="J66" t="s">
        <v>51</v>
      </c>
      <c r="K66" t="s">
        <v>40</v>
      </c>
      <c r="L66" t="s">
        <v>41</v>
      </c>
    </row>
    <row r="67" spans="1:12" x14ac:dyDescent="0.3">
      <c r="A67">
        <v>1278</v>
      </c>
      <c r="B67" t="s">
        <v>74</v>
      </c>
      <c r="C67">
        <v>19</v>
      </c>
      <c r="D67" t="s">
        <v>108</v>
      </c>
      <c r="E67" t="s">
        <v>34</v>
      </c>
      <c r="F67" t="s">
        <v>264</v>
      </c>
      <c r="G67" t="s">
        <v>66</v>
      </c>
      <c r="H67" t="s">
        <v>142</v>
      </c>
      <c r="I67" t="s">
        <v>265</v>
      </c>
      <c r="J67" t="s">
        <v>266</v>
      </c>
      <c r="K67" t="s">
        <v>96</v>
      </c>
      <c r="L67" t="s">
        <v>54</v>
      </c>
    </row>
    <row r="68" spans="1:12" x14ac:dyDescent="0.3">
      <c r="A68">
        <v>1205</v>
      </c>
      <c r="B68" t="s">
        <v>155</v>
      </c>
      <c r="C68">
        <v>22</v>
      </c>
      <c r="D68" t="s">
        <v>108</v>
      </c>
      <c r="E68" t="s">
        <v>64</v>
      </c>
      <c r="F68" t="s">
        <v>267</v>
      </c>
      <c r="G68" t="s">
        <v>27</v>
      </c>
      <c r="H68" t="s">
        <v>17</v>
      </c>
      <c r="I68" t="s">
        <v>268</v>
      </c>
      <c r="J68" t="s">
        <v>269</v>
      </c>
      <c r="K68" t="s">
        <v>40</v>
      </c>
      <c r="L68" t="s">
        <v>61</v>
      </c>
    </row>
    <row r="69" spans="1:12" x14ac:dyDescent="0.3">
      <c r="A69">
        <v>1146</v>
      </c>
      <c r="B69" t="s">
        <v>117</v>
      </c>
      <c r="C69">
        <v>25</v>
      </c>
      <c r="D69" t="s">
        <v>33</v>
      </c>
      <c r="E69" t="s">
        <v>84</v>
      </c>
      <c r="F69" t="s">
        <v>270</v>
      </c>
      <c r="G69" t="s">
        <v>23</v>
      </c>
      <c r="H69" t="s">
        <v>76</v>
      </c>
      <c r="I69" t="s">
        <v>271</v>
      </c>
      <c r="J69" t="s">
        <v>272</v>
      </c>
      <c r="K69" t="s">
        <v>33</v>
      </c>
      <c r="L69" t="s">
        <v>116</v>
      </c>
    </row>
    <row r="70" spans="1:12" x14ac:dyDescent="0.3">
      <c r="A70">
        <v>1484</v>
      </c>
      <c r="B70" t="s">
        <v>107</v>
      </c>
      <c r="C70">
        <v>20</v>
      </c>
      <c r="D70" t="s">
        <v>42</v>
      </c>
      <c r="E70" t="s">
        <v>48</v>
      </c>
      <c r="F70" t="s">
        <v>273</v>
      </c>
      <c r="G70" t="s">
        <v>27</v>
      </c>
      <c r="H70" t="s">
        <v>17</v>
      </c>
      <c r="I70" t="s">
        <v>274</v>
      </c>
      <c r="J70" t="s">
        <v>82</v>
      </c>
      <c r="K70" t="s">
        <v>96</v>
      </c>
      <c r="L70" t="s">
        <v>116</v>
      </c>
    </row>
    <row r="71" spans="1:12" x14ac:dyDescent="0.3">
      <c r="A71">
        <v>1271</v>
      </c>
      <c r="B71" t="s">
        <v>79</v>
      </c>
      <c r="D71" t="s">
        <v>108</v>
      </c>
      <c r="E71" t="s">
        <v>84</v>
      </c>
      <c r="F71" t="s">
        <v>275</v>
      </c>
      <c r="G71" t="s">
        <v>27</v>
      </c>
      <c r="H71" t="s">
        <v>110</v>
      </c>
      <c r="I71" t="s">
        <v>276</v>
      </c>
      <c r="J71" t="s">
        <v>277</v>
      </c>
      <c r="K71" t="s">
        <v>60</v>
      </c>
      <c r="L71" t="s">
        <v>116</v>
      </c>
    </row>
    <row r="72" spans="1:12" x14ac:dyDescent="0.3">
      <c r="A72">
        <v>1491</v>
      </c>
      <c r="B72" t="s">
        <v>22</v>
      </c>
      <c r="C72" t="s">
        <v>128</v>
      </c>
      <c r="D72" t="s">
        <v>69</v>
      </c>
      <c r="E72" t="s">
        <v>25</v>
      </c>
      <c r="F72" t="s">
        <v>278</v>
      </c>
      <c r="G72" t="s">
        <v>141</v>
      </c>
      <c r="H72" t="s">
        <v>37</v>
      </c>
      <c r="I72" t="s">
        <v>279</v>
      </c>
      <c r="J72" t="s">
        <v>280</v>
      </c>
      <c r="K72" t="s">
        <v>60</v>
      </c>
      <c r="L72" t="s">
        <v>41</v>
      </c>
    </row>
    <row r="73" spans="1:12" x14ac:dyDescent="0.3">
      <c r="A73">
        <v>1411</v>
      </c>
      <c r="B73" t="s">
        <v>79</v>
      </c>
      <c r="C73" t="s">
        <v>128</v>
      </c>
      <c r="D73" t="s">
        <v>13</v>
      </c>
      <c r="E73" t="s">
        <v>25</v>
      </c>
      <c r="F73" t="s">
        <v>281</v>
      </c>
      <c r="G73" t="s">
        <v>23</v>
      </c>
      <c r="H73" t="s">
        <v>130</v>
      </c>
      <c r="I73" t="s">
        <v>282</v>
      </c>
      <c r="J73" t="s">
        <v>283</v>
      </c>
      <c r="K73" t="s">
        <v>53</v>
      </c>
      <c r="L73" t="s">
        <v>61</v>
      </c>
    </row>
    <row r="74" spans="1:12" x14ac:dyDescent="0.3">
      <c r="A74">
        <v>1253</v>
      </c>
      <c r="B74" t="s">
        <v>136</v>
      </c>
      <c r="C74">
        <v>22</v>
      </c>
      <c r="D74" t="s">
        <v>33</v>
      </c>
      <c r="E74" t="s">
        <v>80</v>
      </c>
      <c r="F74" t="s">
        <v>284</v>
      </c>
      <c r="G74" t="s">
        <v>71</v>
      </c>
      <c r="H74" t="s">
        <v>110</v>
      </c>
      <c r="I74" t="s">
        <v>285</v>
      </c>
      <c r="J74" t="s">
        <v>286</v>
      </c>
      <c r="K74" t="s">
        <v>33</v>
      </c>
      <c r="L74" t="s">
        <v>101</v>
      </c>
    </row>
    <row r="75" spans="1:12" x14ac:dyDescent="0.3">
      <c r="A75">
        <v>1492</v>
      </c>
      <c r="B75" t="s">
        <v>12</v>
      </c>
      <c r="C75" t="s">
        <v>97</v>
      </c>
      <c r="D75" t="s">
        <v>55</v>
      </c>
      <c r="E75" t="s">
        <v>14</v>
      </c>
      <c r="F75" t="s">
        <v>287</v>
      </c>
      <c r="G75" t="s">
        <v>66</v>
      </c>
      <c r="H75" t="s">
        <v>90</v>
      </c>
      <c r="I75" t="s">
        <v>288</v>
      </c>
      <c r="J75" t="s">
        <v>285</v>
      </c>
      <c r="K75" t="s">
        <v>20</v>
      </c>
      <c r="L75" t="s">
        <v>21</v>
      </c>
    </row>
    <row r="76" spans="1:12" x14ac:dyDescent="0.3">
      <c r="A76">
        <v>1158</v>
      </c>
      <c r="B76" t="s">
        <v>74</v>
      </c>
      <c r="C76">
        <v>21</v>
      </c>
      <c r="D76" t="s">
        <v>33</v>
      </c>
      <c r="E76" t="s">
        <v>167</v>
      </c>
      <c r="F76" t="s">
        <v>289</v>
      </c>
      <c r="G76" t="s">
        <v>23</v>
      </c>
      <c r="H76" t="s">
        <v>17</v>
      </c>
      <c r="I76" t="s">
        <v>18</v>
      </c>
      <c r="J76" t="s">
        <v>290</v>
      </c>
      <c r="K76" t="s">
        <v>53</v>
      </c>
      <c r="L76" t="s">
        <v>54</v>
      </c>
    </row>
    <row r="77" spans="1:12" x14ac:dyDescent="0.3">
      <c r="A77">
        <v>1180</v>
      </c>
      <c r="B77" t="s">
        <v>22</v>
      </c>
      <c r="C77">
        <v>22</v>
      </c>
      <c r="D77" t="s">
        <v>13</v>
      </c>
      <c r="E77" t="s">
        <v>25</v>
      </c>
      <c r="F77" t="s">
        <v>291</v>
      </c>
      <c r="G77" t="s">
        <v>16</v>
      </c>
      <c r="H77" t="s">
        <v>76</v>
      </c>
      <c r="I77" t="s">
        <v>292</v>
      </c>
      <c r="J77" t="s">
        <v>293</v>
      </c>
      <c r="K77" t="s">
        <v>53</v>
      </c>
      <c r="L77" t="s">
        <v>116</v>
      </c>
    </row>
    <row r="78" spans="1:12" x14ac:dyDescent="0.3">
      <c r="A78">
        <v>1070</v>
      </c>
      <c r="B78" t="s">
        <v>107</v>
      </c>
      <c r="C78" t="s">
        <v>62</v>
      </c>
      <c r="D78" t="s">
        <v>24</v>
      </c>
      <c r="E78" t="s">
        <v>167</v>
      </c>
      <c r="F78" t="s">
        <v>294</v>
      </c>
      <c r="G78" t="s">
        <v>66</v>
      </c>
      <c r="H78" t="s">
        <v>17</v>
      </c>
      <c r="I78" t="s">
        <v>295</v>
      </c>
      <c r="J78" t="s">
        <v>296</v>
      </c>
      <c r="K78" t="s">
        <v>40</v>
      </c>
      <c r="L78" t="s">
        <v>61</v>
      </c>
    </row>
    <row r="79" spans="1:12" x14ac:dyDescent="0.3">
      <c r="A79">
        <v>1365</v>
      </c>
      <c r="B79" t="s">
        <v>79</v>
      </c>
      <c r="C79">
        <v>24</v>
      </c>
      <c r="D79" t="s">
        <v>69</v>
      </c>
      <c r="E79" t="s">
        <v>34</v>
      </c>
      <c r="F79" t="s">
        <v>297</v>
      </c>
      <c r="G79" t="s">
        <v>86</v>
      </c>
      <c r="H79" t="s">
        <v>90</v>
      </c>
      <c r="I79" t="s">
        <v>211</v>
      </c>
      <c r="J79" t="s">
        <v>298</v>
      </c>
      <c r="K79" t="s">
        <v>96</v>
      </c>
      <c r="L79" t="s">
        <v>41</v>
      </c>
    </row>
    <row r="80" spans="1:12" x14ac:dyDescent="0.3">
      <c r="A80">
        <v>1371</v>
      </c>
      <c r="B80" t="s">
        <v>155</v>
      </c>
      <c r="C80">
        <v>20</v>
      </c>
      <c r="D80" t="s">
        <v>63</v>
      </c>
      <c r="E80" t="s">
        <v>64</v>
      </c>
      <c r="F80" t="s">
        <v>299</v>
      </c>
      <c r="G80" t="s">
        <v>36</v>
      </c>
      <c r="H80" t="s">
        <v>76</v>
      </c>
      <c r="I80" t="s">
        <v>300</v>
      </c>
      <c r="J80" t="s">
        <v>301</v>
      </c>
      <c r="K80" t="s">
        <v>40</v>
      </c>
      <c r="L80" t="s">
        <v>116</v>
      </c>
    </row>
    <row r="81" spans="1:12" x14ac:dyDescent="0.3">
      <c r="A81">
        <v>1154</v>
      </c>
      <c r="B81" t="s">
        <v>136</v>
      </c>
      <c r="C81">
        <v>25</v>
      </c>
      <c r="D81" t="s">
        <v>69</v>
      </c>
      <c r="E81" t="s">
        <v>14</v>
      </c>
      <c r="F81" t="s">
        <v>302</v>
      </c>
      <c r="G81" t="s">
        <v>36</v>
      </c>
      <c r="H81" t="s">
        <v>104</v>
      </c>
      <c r="I81" t="s">
        <v>303</v>
      </c>
      <c r="J81" t="s">
        <v>304</v>
      </c>
      <c r="K81" t="s">
        <v>53</v>
      </c>
      <c r="L81" t="s">
        <v>21</v>
      </c>
    </row>
    <row r="82" spans="1:12" x14ac:dyDescent="0.3">
      <c r="A82">
        <v>1208</v>
      </c>
      <c r="B82" t="s">
        <v>47</v>
      </c>
      <c r="C82">
        <v>25</v>
      </c>
      <c r="D82" t="s">
        <v>33</v>
      </c>
      <c r="E82" t="s">
        <v>80</v>
      </c>
      <c r="F82" t="s">
        <v>305</v>
      </c>
      <c r="G82" t="s">
        <v>86</v>
      </c>
      <c r="H82" t="s">
        <v>28</v>
      </c>
      <c r="I82" t="s">
        <v>124</v>
      </c>
      <c r="J82" t="s">
        <v>306</v>
      </c>
      <c r="K82" t="s">
        <v>60</v>
      </c>
      <c r="L82" t="s">
        <v>116</v>
      </c>
    </row>
    <row r="83" spans="1:12" x14ac:dyDescent="0.3">
      <c r="A83">
        <v>1390</v>
      </c>
      <c r="B83" t="s">
        <v>47</v>
      </c>
      <c r="C83">
        <v>25</v>
      </c>
      <c r="D83" t="s">
        <v>24</v>
      </c>
      <c r="E83" t="s">
        <v>80</v>
      </c>
      <c r="F83" t="s">
        <v>307</v>
      </c>
      <c r="G83" t="s">
        <v>57</v>
      </c>
      <c r="H83" t="s">
        <v>104</v>
      </c>
      <c r="I83" t="s">
        <v>308</v>
      </c>
      <c r="J83" t="s">
        <v>309</v>
      </c>
      <c r="K83" t="s">
        <v>40</v>
      </c>
      <c r="L83" t="s">
        <v>61</v>
      </c>
    </row>
    <row r="84" spans="1:12" x14ac:dyDescent="0.3">
      <c r="A84">
        <v>1270</v>
      </c>
      <c r="B84" t="s">
        <v>163</v>
      </c>
      <c r="C84">
        <v>22</v>
      </c>
      <c r="D84" t="s">
        <v>69</v>
      </c>
      <c r="E84" t="s">
        <v>43</v>
      </c>
      <c r="F84" t="s">
        <v>310</v>
      </c>
      <c r="G84" t="s">
        <v>57</v>
      </c>
      <c r="H84" t="s">
        <v>110</v>
      </c>
      <c r="I84" t="s">
        <v>311</v>
      </c>
      <c r="J84" t="s">
        <v>312</v>
      </c>
      <c r="K84" t="s">
        <v>40</v>
      </c>
      <c r="L84" t="s">
        <v>31</v>
      </c>
    </row>
    <row r="85" spans="1:12" x14ac:dyDescent="0.3">
      <c r="A85">
        <v>1255</v>
      </c>
      <c r="B85" t="s">
        <v>74</v>
      </c>
      <c r="C85" t="s">
        <v>23</v>
      </c>
      <c r="D85" t="s">
        <v>24</v>
      </c>
      <c r="E85" t="s">
        <v>34</v>
      </c>
      <c r="F85" t="s">
        <v>313</v>
      </c>
      <c r="G85" t="s">
        <v>50</v>
      </c>
      <c r="H85" t="s">
        <v>90</v>
      </c>
      <c r="I85" t="s">
        <v>314</v>
      </c>
      <c r="J85" t="s">
        <v>315</v>
      </c>
      <c r="K85" t="s">
        <v>20</v>
      </c>
      <c r="L85" t="s">
        <v>54</v>
      </c>
    </row>
    <row r="86" spans="1:12" x14ac:dyDescent="0.3">
      <c r="A86">
        <v>1244</v>
      </c>
      <c r="B86" t="s">
        <v>22</v>
      </c>
      <c r="C86">
        <v>25</v>
      </c>
      <c r="D86" t="s">
        <v>33</v>
      </c>
      <c r="E86" t="s">
        <v>14</v>
      </c>
      <c r="F86" t="s">
        <v>316</v>
      </c>
      <c r="G86" t="s">
        <v>141</v>
      </c>
      <c r="H86" t="s">
        <v>110</v>
      </c>
      <c r="I86" t="s">
        <v>208</v>
      </c>
      <c r="J86" t="s">
        <v>317</v>
      </c>
      <c r="K86" t="s">
        <v>96</v>
      </c>
      <c r="L86" t="s">
        <v>54</v>
      </c>
    </row>
    <row r="87" spans="1:12" x14ac:dyDescent="0.3">
      <c r="A87">
        <v>1359</v>
      </c>
      <c r="B87" t="s">
        <v>107</v>
      </c>
      <c r="C87" t="s">
        <v>97</v>
      </c>
      <c r="D87" t="s">
        <v>24</v>
      </c>
      <c r="E87" t="s">
        <v>121</v>
      </c>
      <c r="F87" t="s">
        <v>318</v>
      </c>
      <c r="G87" t="s">
        <v>71</v>
      </c>
      <c r="H87" t="s">
        <v>37</v>
      </c>
      <c r="I87" t="s">
        <v>319</v>
      </c>
      <c r="J87" t="s">
        <v>320</v>
      </c>
      <c r="K87" t="s">
        <v>20</v>
      </c>
      <c r="L87" t="s">
        <v>41</v>
      </c>
    </row>
    <row r="88" spans="1:12" x14ac:dyDescent="0.3">
      <c r="A88">
        <v>1459</v>
      </c>
      <c r="B88" t="s">
        <v>74</v>
      </c>
      <c r="C88">
        <v>22</v>
      </c>
      <c r="D88" t="s">
        <v>63</v>
      </c>
      <c r="E88" t="s">
        <v>34</v>
      </c>
      <c r="F88" t="s">
        <v>321</v>
      </c>
      <c r="G88" t="s">
        <v>23</v>
      </c>
      <c r="H88" t="s">
        <v>110</v>
      </c>
      <c r="I88" t="s">
        <v>322</v>
      </c>
      <c r="J88" t="s">
        <v>323</v>
      </c>
      <c r="K88" t="s">
        <v>20</v>
      </c>
      <c r="L88" t="s">
        <v>116</v>
      </c>
    </row>
    <row r="89" spans="1:12" x14ac:dyDescent="0.3">
      <c r="A89">
        <v>1438</v>
      </c>
      <c r="B89" t="s">
        <v>74</v>
      </c>
      <c r="C89">
        <v>18</v>
      </c>
      <c r="D89" t="s">
        <v>108</v>
      </c>
      <c r="E89" t="s">
        <v>43</v>
      </c>
      <c r="F89" t="s">
        <v>324</v>
      </c>
      <c r="G89" t="s">
        <v>57</v>
      </c>
      <c r="H89" t="s">
        <v>90</v>
      </c>
      <c r="I89" t="s">
        <v>325</v>
      </c>
      <c r="J89" t="s">
        <v>326</v>
      </c>
      <c r="K89" t="s">
        <v>40</v>
      </c>
      <c r="L89" t="s">
        <v>101</v>
      </c>
    </row>
    <row r="90" spans="1:12" x14ac:dyDescent="0.3">
      <c r="A90">
        <v>1455</v>
      </c>
      <c r="B90" t="s">
        <v>74</v>
      </c>
      <c r="C90">
        <v>25</v>
      </c>
      <c r="D90" t="s">
        <v>55</v>
      </c>
      <c r="E90" t="s">
        <v>156</v>
      </c>
      <c r="F90" t="s">
        <v>327</v>
      </c>
      <c r="G90" t="s">
        <v>86</v>
      </c>
      <c r="H90" t="s">
        <v>37</v>
      </c>
      <c r="I90" t="s">
        <v>328</v>
      </c>
      <c r="J90" t="s">
        <v>329</v>
      </c>
      <c r="K90" t="s">
        <v>20</v>
      </c>
      <c r="L90" t="s">
        <v>41</v>
      </c>
    </row>
    <row r="91" spans="1:12" x14ac:dyDescent="0.3">
      <c r="A91">
        <v>1129</v>
      </c>
      <c r="B91" t="s">
        <v>107</v>
      </c>
      <c r="C91" t="s">
        <v>128</v>
      </c>
      <c r="D91" t="s">
        <v>63</v>
      </c>
      <c r="E91" t="s">
        <v>34</v>
      </c>
      <c r="F91" t="s">
        <v>330</v>
      </c>
      <c r="G91" t="s">
        <v>86</v>
      </c>
      <c r="H91" t="s">
        <v>76</v>
      </c>
      <c r="I91" t="s">
        <v>131</v>
      </c>
      <c r="J91" t="s">
        <v>331</v>
      </c>
      <c r="K91" t="s">
        <v>40</v>
      </c>
      <c r="L91" t="s">
        <v>61</v>
      </c>
    </row>
    <row r="92" spans="1:12" x14ac:dyDescent="0.3">
      <c r="A92">
        <v>1043</v>
      </c>
      <c r="B92" t="s">
        <v>120</v>
      </c>
      <c r="C92" t="s">
        <v>23</v>
      </c>
      <c r="D92" t="s">
        <v>102</v>
      </c>
      <c r="E92" t="s">
        <v>80</v>
      </c>
      <c r="F92" t="s">
        <v>332</v>
      </c>
      <c r="G92" t="s">
        <v>141</v>
      </c>
      <c r="H92" t="s">
        <v>130</v>
      </c>
      <c r="I92" t="s">
        <v>211</v>
      </c>
      <c r="J92" t="s">
        <v>333</v>
      </c>
      <c r="K92" t="s">
        <v>53</v>
      </c>
      <c r="L92" t="s">
        <v>101</v>
      </c>
    </row>
    <row r="93" spans="1:12" x14ac:dyDescent="0.3">
      <c r="A93">
        <v>1186</v>
      </c>
      <c r="B93" t="s">
        <v>120</v>
      </c>
      <c r="C93" t="s">
        <v>23</v>
      </c>
      <c r="D93" t="s">
        <v>69</v>
      </c>
      <c r="E93" t="s">
        <v>167</v>
      </c>
      <c r="F93" t="s">
        <v>334</v>
      </c>
      <c r="G93" t="s">
        <v>36</v>
      </c>
      <c r="H93" t="s">
        <v>76</v>
      </c>
      <c r="I93" t="s">
        <v>335</v>
      </c>
      <c r="J93" t="s">
        <v>336</v>
      </c>
      <c r="K93" t="s">
        <v>20</v>
      </c>
      <c r="L93" t="s">
        <v>78</v>
      </c>
    </row>
    <row r="94" spans="1:12" x14ac:dyDescent="0.3">
      <c r="A94">
        <v>1357</v>
      </c>
      <c r="B94" t="s">
        <v>22</v>
      </c>
      <c r="C94">
        <v>24</v>
      </c>
      <c r="D94" t="s">
        <v>13</v>
      </c>
      <c r="E94" t="s">
        <v>121</v>
      </c>
      <c r="F94" t="s">
        <v>337</v>
      </c>
      <c r="G94" t="s">
        <v>141</v>
      </c>
      <c r="H94" t="s">
        <v>28</v>
      </c>
      <c r="I94" t="s">
        <v>338</v>
      </c>
      <c r="J94" t="s">
        <v>339</v>
      </c>
      <c r="K94" t="s">
        <v>60</v>
      </c>
      <c r="L94" t="s">
        <v>78</v>
      </c>
    </row>
    <row r="95" spans="1:12" x14ac:dyDescent="0.3">
      <c r="A95">
        <v>1183</v>
      </c>
      <c r="B95" t="s">
        <v>163</v>
      </c>
      <c r="C95">
        <v>21</v>
      </c>
      <c r="D95" t="s">
        <v>33</v>
      </c>
      <c r="E95" t="s">
        <v>84</v>
      </c>
      <c r="F95" t="s">
        <v>340</v>
      </c>
      <c r="G95" t="s">
        <v>27</v>
      </c>
      <c r="H95" t="s">
        <v>37</v>
      </c>
      <c r="I95" t="s">
        <v>179</v>
      </c>
      <c r="J95" t="s">
        <v>341</v>
      </c>
      <c r="K95" t="s">
        <v>20</v>
      </c>
      <c r="L95" t="s">
        <v>78</v>
      </c>
    </row>
    <row r="96" spans="1:12" x14ac:dyDescent="0.3">
      <c r="A96">
        <v>1025</v>
      </c>
      <c r="B96" t="s">
        <v>120</v>
      </c>
      <c r="C96">
        <v>22</v>
      </c>
      <c r="D96" t="s">
        <v>13</v>
      </c>
      <c r="E96" t="s">
        <v>167</v>
      </c>
      <c r="F96" t="s">
        <v>342</v>
      </c>
      <c r="G96" t="s">
        <v>23</v>
      </c>
      <c r="H96" t="s">
        <v>218</v>
      </c>
      <c r="I96" t="s">
        <v>343</v>
      </c>
      <c r="J96" t="s">
        <v>344</v>
      </c>
      <c r="K96" t="s">
        <v>40</v>
      </c>
      <c r="L96" t="s">
        <v>21</v>
      </c>
    </row>
    <row r="97" spans="1:12" x14ac:dyDescent="0.3">
      <c r="A97">
        <v>1434</v>
      </c>
      <c r="B97" t="s">
        <v>136</v>
      </c>
      <c r="C97">
        <v>19</v>
      </c>
      <c r="D97" t="s">
        <v>102</v>
      </c>
      <c r="E97" t="s">
        <v>43</v>
      </c>
      <c r="F97" t="s">
        <v>345</v>
      </c>
      <c r="G97" t="s">
        <v>57</v>
      </c>
      <c r="H97" t="s">
        <v>17</v>
      </c>
      <c r="I97" t="s">
        <v>346</v>
      </c>
      <c r="J97" t="s">
        <v>45</v>
      </c>
      <c r="K97" t="s">
        <v>33</v>
      </c>
      <c r="L97" t="s">
        <v>116</v>
      </c>
    </row>
    <row r="98" spans="1:12" x14ac:dyDescent="0.3">
      <c r="A98">
        <v>1468</v>
      </c>
      <c r="B98" t="s">
        <v>32</v>
      </c>
      <c r="C98">
        <v>19</v>
      </c>
      <c r="D98" t="s">
        <v>13</v>
      </c>
      <c r="E98" t="s">
        <v>84</v>
      </c>
      <c r="F98" t="s">
        <v>347</v>
      </c>
      <c r="G98" t="s">
        <v>57</v>
      </c>
      <c r="H98" t="s">
        <v>90</v>
      </c>
      <c r="I98" t="s">
        <v>348</v>
      </c>
      <c r="J98" t="s">
        <v>349</v>
      </c>
      <c r="K98" t="s">
        <v>40</v>
      </c>
      <c r="L98" t="s">
        <v>116</v>
      </c>
    </row>
    <row r="99" spans="1:12" x14ac:dyDescent="0.3">
      <c r="A99">
        <v>1312</v>
      </c>
      <c r="B99" t="s">
        <v>12</v>
      </c>
      <c r="C99">
        <v>25</v>
      </c>
      <c r="D99" t="s">
        <v>13</v>
      </c>
      <c r="E99" t="s">
        <v>14</v>
      </c>
      <c r="F99" t="s">
        <v>350</v>
      </c>
      <c r="G99" t="s">
        <v>66</v>
      </c>
      <c r="H99" t="s">
        <v>142</v>
      </c>
      <c r="I99" t="s">
        <v>351</v>
      </c>
      <c r="J99" t="s">
        <v>352</v>
      </c>
      <c r="K99" t="s">
        <v>40</v>
      </c>
      <c r="L99" t="s">
        <v>41</v>
      </c>
    </row>
    <row r="100" spans="1:12" x14ac:dyDescent="0.3">
      <c r="A100">
        <v>1305</v>
      </c>
      <c r="B100" t="s">
        <v>107</v>
      </c>
      <c r="C100">
        <v>20</v>
      </c>
      <c r="D100" t="s">
        <v>24</v>
      </c>
      <c r="E100" t="s">
        <v>84</v>
      </c>
      <c r="F100" t="s">
        <v>353</v>
      </c>
      <c r="G100" t="s">
        <v>50</v>
      </c>
      <c r="H100" t="s">
        <v>130</v>
      </c>
      <c r="I100" t="s">
        <v>354</v>
      </c>
      <c r="J100" t="s">
        <v>290</v>
      </c>
      <c r="K100" t="s">
        <v>40</v>
      </c>
      <c r="L100" t="s">
        <v>101</v>
      </c>
    </row>
    <row r="101" spans="1:12" x14ac:dyDescent="0.3">
      <c r="A101">
        <v>1268</v>
      </c>
      <c r="B101" t="s">
        <v>136</v>
      </c>
      <c r="D101" t="s">
        <v>108</v>
      </c>
      <c r="E101" t="s">
        <v>84</v>
      </c>
      <c r="F101" t="s">
        <v>355</v>
      </c>
      <c r="G101" t="s">
        <v>36</v>
      </c>
      <c r="H101" t="s">
        <v>104</v>
      </c>
      <c r="I101" t="s">
        <v>356</v>
      </c>
      <c r="J101" t="s">
        <v>357</v>
      </c>
      <c r="K101" t="s">
        <v>53</v>
      </c>
      <c r="L101" t="s">
        <v>101</v>
      </c>
    </row>
    <row r="102" spans="1:12" x14ac:dyDescent="0.3">
      <c r="A102">
        <v>1018</v>
      </c>
      <c r="B102" t="s">
        <v>107</v>
      </c>
      <c r="C102" t="s">
        <v>23</v>
      </c>
      <c r="D102" t="s">
        <v>33</v>
      </c>
      <c r="E102" t="s">
        <v>25</v>
      </c>
      <c r="F102" t="s">
        <v>358</v>
      </c>
      <c r="G102" t="s">
        <v>66</v>
      </c>
      <c r="H102" t="s">
        <v>110</v>
      </c>
      <c r="I102" t="s">
        <v>359</v>
      </c>
      <c r="J102" t="s">
        <v>360</v>
      </c>
      <c r="K102" t="s">
        <v>53</v>
      </c>
      <c r="L102" t="s">
        <v>41</v>
      </c>
    </row>
    <row r="103" spans="1:12" x14ac:dyDescent="0.3">
      <c r="A103">
        <v>1465</v>
      </c>
      <c r="B103" t="s">
        <v>120</v>
      </c>
      <c r="C103" t="s">
        <v>23</v>
      </c>
      <c r="D103" t="s">
        <v>102</v>
      </c>
      <c r="E103" t="s">
        <v>25</v>
      </c>
      <c r="F103" t="s">
        <v>361</v>
      </c>
      <c r="G103" t="s">
        <v>36</v>
      </c>
      <c r="H103" t="s">
        <v>28</v>
      </c>
      <c r="I103" t="s">
        <v>159</v>
      </c>
      <c r="J103" t="s">
        <v>362</v>
      </c>
      <c r="K103" t="s">
        <v>53</v>
      </c>
      <c r="L103" t="s">
        <v>31</v>
      </c>
    </row>
    <row r="104" spans="1:12" x14ac:dyDescent="0.3">
      <c r="A104">
        <v>1001</v>
      </c>
      <c r="B104" t="s">
        <v>74</v>
      </c>
      <c r="C104">
        <v>25</v>
      </c>
      <c r="D104" t="s">
        <v>33</v>
      </c>
      <c r="E104" t="s">
        <v>14</v>
      </c>
      <c r="F104" t="s">
        <v>363</v>
      </c>
      <c r="G104" t="s">
        <v>16</v>
      </c>
      <c r="H104" t="s">
        <v>37</v>
      </c>
      <c r="I104" t="s">
        <v>265</v>
      </c>
      <c r="J104" t="s">
        <v>364</v>
      </c>
      <c r="K104" t="s">
        <v>53</v>
      </c>
      <c r="L104" t="s">
        <v>78</v>
      </c>
    </row>
    <row r="105" spans="1:12" x14ac:dyDescent="0.3">
      <c r="A105">
        <v>1051</v>
      </c>
      <c r="B105" t="s">
        <v>163</v>
      </c>
      <c r="C105" t="s">
        <v>97</v>
      </c>
      <c r="D105" t="s">
        <v>102</v>
      </c>
      <c r="E105" t="s">
        <v>64</v>
      </c>
      <c r="F105" t="s">
        <v>365</v>
      </c>
      <c r="G105" t="s">
        <v>86</v>
      </c>
      <c r="H105" t="s">
        <v>17</v>
      </c>
      <c r="I105" t="s">
        <v>366</v>
      </c>
      <c r="J105" t="s">
        <v>222</v>
      </c>
      <c r="K105" t="s">
        <v>40</v>
      </c>
      <c r="L105" t="s">
        <v>61</v>
      </c>
    </row>
    <row r="106" spans="1:12" x14ac:dyDescent="0.3">
      <c r="A106">
        <v>1428</v>
      </c>
      <c r="B106" t="s">
        <v>155</v>
      </c>
      <c r="C106" t="s">
        <v>62</v>
      </c>
      <c r="D106" t="s">
        <v>102</v>
      </c>
      <c r="E106" t="s">
        <v>34</v>
      </c>
      <c r="F106" t="s">
        <v>367</v>
      </c>
      <c r="G106" t="s">
        <v>16</v>
      </c>
      <c r="H106" t="s">
        <v>28</v>
      </c>
      <c r="I106" t="s">
        <v>265</v>
      </c>
      <c r="J106" t="s">
        <v>368</v>
      </c>
      <c r="K106" t="s">
        <v>33</v>
      </c>
      <c r="L106" t="s">
        <v>101</v>
      </c>
    </row>
    <row r="107" spans="1:12" x14ac:dyDescent="0.3">
      <c r="A107">
        <v>1373</v>
      </c>
      <c r="B107" t="s">
        <v>12</v>
      </c>
      <c r="D107" t="s">
        <v>63</v>
      </c>
      <c r="E107" t="s">
        <v>84</v>
      </c>
      <c r="F107" t="s">
        <v>369</v>
      </c>
      <c r="G107" t="s">
        <v>66</v>
      </c>
      <c r="H107" t="s">
        <v>90</v>
      </c>
      <c r="I107" t="s">
        <v>326</v>
      </c>
      <c r="J107" t="s">
        <v>370</v>
      </c>
      <c r="K107" t="s">
        <v>60</v>
      </c>
      <c r="L107" t="s">
        <v>116</v>
      </c>
    </row>
    <row r="108" spans="1:12" x14ac:dyDescent="0.3">
      <c r="A108">
        <v>1233</v>
      </c>
      <c r="B108" t="s">
        <v>155</v>
      </c>
      <c r="C108" t="s">
        <v>23</v>
      </c>
      <c r="D108" t="s">
        <v>13</v>
      </c>
      <c r="E108" t="s">
        <v>14</v>
      </c>
      <c r="F108" t="s">
        <v>371</v>
      </c>
      <c r="G108" t="s">
        <v>57</v>
      </c>
      <c r="H108" t="s">
        <v>130</v>
      </c>
      <c r="I108" t="s">
        <v>372</v>
      </c>
      <c r="J108" t="s">
        <v>373</v>
      </c>
      <c r="K108" t="s">
        <v>33</v>
      </c>
      <c r="L108" t="s">
        <v>21</v>
      </c>
    </row>
    <row r="109" spans="1:12" x14ac:dyDescent="0.3">
      <c r="A109">
        <v>1304</v>
      </c>
      <c r="B109" t="s">
        <v>74</v>
      </c>
      <c r="C109">
        <v>22</v>
      </c>
      <c r="D109" t="s">
        <v>24</v>
      </c>
      <c r="E109" t="s">
        <v>34</v>
      </c>
      <c r="F109" t="s">
        <v>374</v>
      </c>
      <c r="G109" t="s">
        <v>141</v>
      </c>
      <c r="H109" t="s">
        <v>130</v>
      </c>
      <c r="I109" t="s">
        <v>323</v>
      </c>
      <c r="J109" t="s">
        <v>176</v>
      </c>
      <c r="K109" t="s">
        <v>60</v>
      </c>
      <c r="L109" t="s">
        <v>101</v>
      </c>
    </row>
    <row r="110" spans="1:12" x14ac:dyDescent="0.3">
      <c r="A110">
        <v>1056</v>
      </c>
      <c r="B110" t="s">
        <v>12</v>
      </c>
      <c r="C110">
        <v>22</v>
      </c>
      <c r="D110" t="s">
        <v>63</v>
      </c>
      <c r="E110" t="s">
        <v>25</v>
      </c>
      <c r="F110" t="s">
        <v>375</v>
      </c>
      <c r="G110" t="s">
        <v>27</v>
      </c>
      <c r="H110" t="s">
        <v>104</v>
      </c>
      <c r="I110" t="s">
        <v>376</v>
      </c>
      <c r="J110" t="s">
        <v>377</v>
      </c>
      <c r="K110" t="s">
        <v>53</v>
      </c>
      <c r="L110" t="s">
        <v>116</v>
      </c>
    </row>
    <row r="111" spans="1:12" x14ac:dyDescent="0.3">
      <c r="A111">
        <v>1475</v>
      </c>
      <c r="B111" t="s">
        <v>74</v>
      </c>
      <c r="C111">
        <v>22</v>
      </c>
      <c r="D111" t="s">
        <v>108</v>
      </c>
      <c r="E111" t="s">
        <v>121</v>
      </c>
      <c r="F111" t="s">
        <v>378</v>
      </c>
      <c r="G111" t="s">
        <v>23</v>
      </c>
      <c r="H111" t="s">
        <v>28</v>
      </c>
      <c r="I111" t="s">
        <v>379</v>
      </c>
      <c r="J111" t="s">
        <v>165</v>
      </c>
      <c r="K111" t="s">
        <v>20</v>
      </c>
      <c r="L111" t="s">
        <v>78</v>
      </c>
    </row>
    <row r="112" spans="1:12" x14ac:dyDescent="0.3">
      <c r="A112">
        <v>1433</v>
      </c>
      <c r="B112" t="s">
        <v>47</v>
      </c>
      <c r="C112">
        <v>25</v>
      </c>
      <c r="D112" t="s">
        <v>102</v>
      </c>
      <c r="E112" t="s">
        <v>156</v>
      </c>
      <c r="F112" t="s">
        <v>380</v>
      </c>
      <c r="G112" t="s">
        <v>86</v>
      </c>
      <c r="H112" t="s">
        <v>37</v>
      </c>
      <c r="I112" t="s">
        <v>381</v>
      </c>
      <c r="J112" t="s">
        <v>339</v>
      </c>
      <c r="K112" t="s">
        <v>60</v>
      </c>
      <c r="L112" t="s">
        <v>31</v>
      </c>
    </row>
    <row r="113" spans="1:12" x14ac:dyDescent="0.3">
      <c r="A113">
        <v>1342</v>
      </c>
      <c r="B113" t="s">
        <v>12</v>
      </c>
      <c r="C113">
        <v>25</v>
      </c>
      <c r="D113" t="s">
        <v>42</v>
      </c>
      <c r="E113" t="s">
        <v>64</v>
      </c>
      <c r="F113" t="s">
        <v>382</v>
      </c>
      <c r="G113" t="s">
        <v>66</v>
      </c>
      <c r="H113" t="s">
        <v>218</v>
      </c>
      <c r="I113" t="s">
        <v>383</v>
      </c>
      <c r="J113" t="s">
        <v>384</v>
      </c>
      <c r="K113" t="s">
        <v>20</v>
      </c>
      <c r="L113" t="s">
        <v>21</v>
      </c>
    </row>
    <row r="114" spans="1:12" x14ac:dyDescent="0.3">
      <c r="A114">
        <v>1003</v>
      </c>
      <c r="B114" t="s">
        <v>117</v>
      </c>
      <c r="C114" t="s">
        <v>62</v>
      </c>
      <c r="D114" t="s">
        <v>69</v>
      </c>
      <c r="E114" t="s">
        <v>48</v>
      </c>
      <c r="F114" t="s">
        <v>385</v>
      </c>
      <c r="G114" t="s">
        <v>57</v>
      </c>
      <c r="H114" t="s">
        <v>218</v>
      </c>
      <c r="I114" t="s">
        <v>295</v>
      </c>
      <c r="J114" t="s">
        <v>386</v>
      </c>
      <c r="K114" t="s">
        <v>20</v>
      </c>
      <c r="L114" t="s">
        <v>78</v>
      </c>
    </row>
    <row r="115" spans="1:12" x14ac:dyDescent="0.3">
      <c r="A115">
        <v>1067</v>
      </c>
      <c r="B115" t="s">
        <v>163</v>
      </c>
      <c r="C115" t="s">
        <v>128</v>
      </c>
      <c r="D115" t="s">
        <v>108</v>
      </c>
      <c r="E115" t="s">
        <v>64</v>
      </c>
      <c r="F115" t="s">
        <v>387</v>
      </c>
      <c r="G115" t="s">
        <v>57</v>
      </c>
      <c r="H115" t="s">
        <v>110</v>
      </c>
      <c r="I115" t="s">
        <v>196</v>
      </c>
      <c r="J115" t="s">
        <v>388</v>
      </c>
      <c r="K115" t="s">
        <v>20</v>
      </c>
      <c r="L115" t="s">
        <v>116</v>
      </c>
    </row>
    <row r="116" spans="1:12" x14ac:dyDescent="0.3">
      <c r="A116">
        <v>1139</v>
      </c>
      <c r="B116" t="s">
        <v>22</v>
      </c>
      <c r="C116" t="s">
        <v>62</v>
      </c>
      <c r="D116" t="s">
        <v>69</v>
      </c>
      <c r="E116" t="s">
        <v>84</v>
      </c>
      <c r="F116" t="s">
        <v>389</v>
      </c>
      <c r="G116" t="s">
        <v>16</v>
      </c>
      <c r="H116" t="s">
        <v>37</v>
      </c>
      <c r="I116" t="s">
        <v>390</v>
      </c>
      <c r="J116" t="s">
        <v>391</v>
      </c>
      <c r="K116" t="s">
        <v>60</v>
      </c>
      <c r="L116" t="s">
        <v>78</v>
      </c>
    </row>
    <row r="117" spans="1:12" x14ac:dyDescent="0.3">
      <c r="A117">
        <v>1149</v>
      </c>
      <c r="B117" t="s">
        <v>136</v>
      </c>
      <c r="C117">
        <v>22</v>
      </c>
      <c r="D117" t="s">
        <v>55</v>
      </c>
      <c r="E117" t="s">
        <v>48</v>
      </c>
      <c r="F117" t="s">
        <v>392</v>
      </c>
      <c r="G117" t="s">
        <v>66</v>
      </c>
      <c r="H117" t="s">
        <v>17</v>
      </c>
      <c r="I117" t="s">
        <v>393</v>
      </c>
      <c r="J117" t="s">
        <v>394</v>
      </c>
      <c r="K117" t="s">
        <v>33</v>
      </c>
      <c r="L117" t="s">
        <v>54</v>
      </c>
    </row>
    <row r="118" spans="1:12" x14ac:dyDescent="0.3">
      <c r="A118">
        <v>1473</v>
      </c>
      <c r="B118" t="s">
        <v>163</v>
      </c>
      <c r="C118">
        <v>19</v>
      </c>
      <c r="D118" t="s">
        <v>33</v>
      </c>
      <c r="E118" t="s">
        <v>84</v>
      </c>
      <c r="F118" t="s">
        <v>395</v>
      </c>
      <c r="G118" t="s">
        <v>23</v>
      </c>
      <c r="H118" t="s">
        <v>90</v>
      </c>
      <c r="I118" t="s">
        <v>112</v>
      </c>
      <c r="J118" t="s">
        <v>396</v>
      </c>
      <c r="K118" t="s">
        <v>96</v>
      </c>
      <c r="L118" t="s">
        <v>41</v>
      </c>
    </row>
    <row r="119" spans="1:12" x14ac:dyDescent="0.3">
      <c r="A119">
        <v>1103</v>
      </c>
      <c r="B119" t="s">
        <v>117</v>
      </c>
      <c r="C119">
        <v>23</v>
      </c>
      <c r="D119" t="s">
        <v>102</v>
      </c>
      <c r="E119" t="s">
        <v>156</v>
      </c>
      <c r="F119" t="s">
        <v>397</v>
      </c>
      <c r="G119" t="s">
        <v>27</v>
      </c>
      <c r="H119" t="s">
        <v>76</v>
      </c>
      <c r="I119" t="s">
        <v>30</v>
      </c>
      <c r="J119" t="s">
        <v>398</v>
      </c>
      <c r="K119" t="s">
        <v>60</v>
      </c>
      <c r="L119" t="s">
        <v>116</v>
      </c>
    </row>
    <row r="120" spans="1:12" x14ac:dyDescent="0.3">
      <c r="A120">
        <v>1489</v>
      </c>
      <c r="B120" t="s">
        <v>107</v>
      </c>
      <c r="C120">
        <v>23</v>
      </c>
      <c r="D120" t="s">
        <v>69</v>
      </c>
      <c r="E120" t="s">
        <v>80</v>
      </c>
      <c r="F120" t="s">
        <v>399</v>
      </c>
      <c r="G120" t="s">
        <v>66</v>
      </c>
      <c r="H120" t="s">
        <v>104</v>
      </c>
      <c r="I120" t="s">
        <v>400</v>
      </c>
      <c r="J120" t="s">
        <v>115</v>
      </c>
      <c r="K120" t="s">
        <v>96</v>
      </c>
      <c r="L120" t="s">
        <v>78</v>
      </c>
    </row>
    <row r="121" spans="1:12" x14ac:dyDescent="0.3">
      <c r="A121">
        <v>1354</v>
      </c>
      <c r="B121" t="s">
        <v>79</v>
      </c>
      <c r="C121" t="s">
        <v>97</v>
      </c>
      <c r="D121" t="s">
        <v>102</v>
      </c>
      <c r="E121" t="s">
        <v>34</v>
      </c>
      <c r="F121" t="s">
        <v>401</v>
      </c>
      <c r="G121" t="s">
        <v>50</v>
      </c>
      <c r="H121" t="s">
        <v>37</v>
      </c>
      <c r="I121" t="s">
        <v>77</v>
      </c>
      <c r="J121" t="s">
        <v>247</v>
      </c>
      <c r="K121" t="s">
        <v>96</v>
      </c>
      <c r="L121" t="s">
        <v>41</v>
      </c>
    </row>
    <row r="122" spans="1:12" x14ac:dyDescent="0.3">
      <c r="A122">
        <v>1003</v>
      </c>
      <c r="B122" t="s">
        <v>12</v>
      </c>
      <c r="C122" t="s">
        <v>62</v>
      </c>
      <c r="D122" t="s">
        <v>102</v>
      </c>
      <c r="E122" t="s">
        <v>121</v>
      </c>
      <c r="F122" t="s">
        <v>402</v>
      </c>
      <c r="G122" t="s">
        <v>50</v>
      </c>
      <c r="H122" t="s">
        <v>90</v>
      </c>
      <c r="I122" t="s">
        <v>403</v>
      </c>
      <c r="J122" t="s">
        <v>404</v>
      </c>
      <c r="K122" t="s">
        <v>40</v>
      </c>
      <c r="L122" t="s">
        <v>61</v>
      </c>
    </row>
    <row r="123" spans="1:12" x14ac:dyDescent="0.3">
      <c r="A123">
        <v>1395</v>
      </c>
      <c r="B123" t="s">
        <v>120</v>
      </c>
      <c r="D123" t="s">
        <v>63</v>
      </c>
      <c r="E123" t="s">
        <v>43</v>
      </c>
      <c r="F123" t="s">
        <v>405</v>
      </c>
      <c r="G123" t="s">
        <v>141</v>
      </c>
      <c r="H123" t="s">
        <v>142</v>
      </c>
      <c r="I123" t="s">
        <v>406</v>
      </c>
      <c r="J123" t="s">
        <v>407</v>
      </c>
      <c r="K123" t="s">
        <v>33</v>
      </c>
      <c r="L123" t="s">
        <v>31</v>
      </c>
    </row>
    <row r="124" spans="1:12" x14ac:dyDescent="0.3">
      <c r="A124">
        <v>1259</v>
      </c>
      <c r="B124" t="s">
        <v>47</v>
      </c>
      <c r="C124">
        <v>23</v>
      </c>
      <c r="D124" t="s">
        <v>55</v>
      </c>
      <c r="E124" t="s">
        <v>43</v>
      </c>
      <c r="F124" t="s">
        <v>408</v>
      </c>
      <c r="G124" t="s">
        <v>50</v>
      </c>
      <c r="H124" t="s">
        <v>90</v>
      </c>
      <c r="I124" t="s">
        <v>352</v>
      </c>
      <c r="J124" t="s">
        <v>409</v>
      </c>
      <c r="K124" t="s">
        <v>20</v>
      </c>
      <c r="L124" t="s">
        <v>41</v>
      </c>
    </row>
    <row r="125" spans="1:12" x14ac:dyDescent="0.3">
      <c r="A125">
        <v>1243</v>
      </c>
      <c r="B125" t="s">
        <v>163</v>
      </c>
      <c r="C125">
        <v>19</v>
      </c>
      <c r="D125" t="s">
        <v>24</v>
      </c>
      <c r="E125" t="s">
        <v>14</v>
      </c>
      <c r="F125" t="s">
        <v>410</v>
      </c>
      <c r="G125" t="s">
        <v>50</v>
      </c>
      <c r="H125" t="s">
        <v>28</v>
      </c>
      <c r="I125" t="s">
        <v>411</v>
      </c>
      <c r="J125" t="s">
        <v>412</v>
      </c>
      <c r="K125" t="s">
        <v>33</v>
      </c>
      <c r="L125" t="s">
        <v>78</v>
      </c>
    </row>
    <row r="126" spans="1:12" x14ac:dyDescent="0.3">
      <c r="A126">
        <v>1222</v>
      </c>
      <c r="B126" t="s">
        <v>47</v>
      </c>
      <c r="C126">
        <v>18</v>
      </c>
      <c r="D126" t="s">
        <v>13</v>
      </c>
      <c r="E126" t="s">
        <v>167</v>
      </c>
      <c r="F126" t="s">
        <v>413</v>
      </c>
      <c r="G126" t="s">
        <v>36</v>
      </c>
      <c r="H126" t="s">
        <v>104</v>
      </c>
      <c r="I126" t="s">
        <v>282</v>
      </c>
      <c r="J126" t="s">
        <v>414</v>
      </c>
      <c r="K126" t="s">
        <v>20</v>
      </c>
      <c r="L126" t="s">
        <v>78</v>
      </c>
    </row>
    <row r="127" spans="1:12" x14ac:dyDescent="0.3">
      <c r="A127">
        <v>1262</v>
      </c>
      <c r="B127" t="s">
        <v>74</v>
      </c>
      <c r="C127">
        <v>24</v>
      </c>
      <c r="D127" t="s">
        <v>33</v>
      </c>
      <c r="E127" t="s">
        <v>121</v>
      </c>
      <c r="F127" t="s">
        <v>415</v>
      </c>
      <c r="G127" t="s">
        <v>66</v>
      </c>
      <c r="H127" t="s">
        <v>90</v>
      </c>
      <c r="I127" t="s">
        <v>416</v>
      </c>
      <c r="J127" t="s">
        <v>417</v>
      </c>
      <c r="K127" t="s">
        <v>33</v>
      </c>
      <c r="L127" t="s">
        <v>41</v>
      </c>
    </row>
    <row r="128" spans="1:12" x14ac:dyDescent="0.3">
      <c r="A128">
        <v>1265</v>
      </c>
      <c r="B128" t="s">
        <v>74</v>
      </c>
      <c r="C128">
        <v>18</v>
      </c>
      <c r="D128" t="s">
        <v>13</v>
      </c>
      <c r="E128" t="s">
        <v>80</v>
      </c>
      <c r="F128" t="s">
        <v>418</v>
      </c>
      <c r="G128" t="s">
        <v>86</v>
      </c>
      <c r="H128" t="s">
        <v>90</v>
      </c>
      <c r="I128" t="s">
        <v>419</v>
      </c>
      <c r="J128" t="s">
        <v>132</v>
      </c>
      <c r="K128" t="s">
        <v>33</v>
      </c>
      <c r="L128" t="s">
        <v>116</v>
      </c>
    </row>
    <row r="129" spans="1:12" x14ac:dyDescent="0.3">
      <c r="A129">
        <v>1087</v>
      </c>
      <c r="B129" t="s">
        <v>74</v>
      </c>
      <c r="C129" t="s">
        <v>62</v>
      </c>
      <c r="D129" t="s">
        <v>42</v>
      </c>
      <c r="E129" t="s">
        <v>80</v>
      </c>
      <c r="F129" t="s">
        <v>420</v>
      </c>
      <c r="G129" t="s">
        <v>50</v>
      </c>
      <c r="H129" t="s">
        <v>28</v>
      </c>
      <c r="I129" t="s">
        <v>154</v>
      </c>
      <c r="J129" t="s">
        <v>73</v>
      </c>
      <c r="K129" t="s">
        <v>53</v>
      </c>
      <c r="L129" t="s">
        <v>31</v>
      </c>
    </row>
    <row r="130" spans="1:12" x14ac:dyDescent="0.3">
      <c r="A130">
        <v>1014</v>
      </c>
      <c r="B130" t="s">
        <v>107</v>
      </c>
      <c r="C130">
        <v>22</v>
      </c>
      <c r="D130" t="s">
        <v>33</v>
      </c>
      <c r="E130" t="s">
        <v>48</v>
      </c>
      <c r="F130" t="s">
        <v>421</v>
      </c>
      <c r="G130" t="s">
        <v>36</v>
      </c>
      <c r="H130" t="s">
        <v>142</v>
      </c>
      <c r="I130" t="s">
        <v>422</v>
      </c>
      <c r="J130" t="s">
        <v>411</v>
      </c>
      <c r="K130" t="s">
        <v>40</v>
      </c>
      <c r="L130" t="s">
        <v>116</v>
      </c>
    </row>
    <row r="131" spans="1:12" x14ac:dyDescent="0.3">
      <c r="A131">
        <v>1486</v>
      </c>
      <c r="B131" t="s">
        <v>47</v>
      </c>
      <c r="C131">
        <v>24</v>
      </c>
      <c r="D131" t="s">
        <v>55</v>
      </c>
      <c r="E131" t="s">
        <v>84</v>
      </c>
      <c r="F131" t="s">
        <v>423</v>
      </c>
      <c r="G131" t="s">
        <v>71</v>
      </c>
      <c r="H131" t="s">
        <v>218</v>
      </c>
      <c r="I131" t="s">
        <v>100</v>
      </c>
      <c r="J131" t="s">
        <v>216</v>
      </c>
      <c r="K131" t="s">
        <v>96</v>
      </c>
      <c r="L131" t="s">
        <v>54</v>
      </c>
    </row>
    <row r="132" spans="1:12" x14ac:dyDescent="0.3">
      <c r="A132">
        <v>1467</v>
      </c>
      <c r="B132" t="s">
        <v>117</v>
      </c>
      <c r="D132" t="s">
        <v>33</v>
      </c>
      <c r="E132" t="s">
        <v>64</v>
      </c>
      <c r="F132" t="s">
        <v>424</v>
      </c>
      <c r="G132" t="s">
        <v>141</v>
      </c>
      <c r="H132" t="s">
        <v>110</v>
      </c>
      <c r="I132" t="s">
        <v>425</v>
      </c>
      <c r="J132" t="s">
        <v>368</v>
      </c>
      <c r="K132" t="s">
        <v>96</v>
      </c>
      <c r="L132" t="s">
        <v>78</v>
      </c>
    </row>
    <row r="133" spans="1:12" x14ac:dyDescent="0.3">
      <c r="A133">
        <v>1377</v>
      </c>
      <c r="B133" t="s">
        <v>47</v>
      </c>
      <c r="C133" t="s">
        <v>23</v>
      </c>
      <c r="D133" t="s">
        <v>55</v>
      </c>
      <c r="E133" t="s">
        <v>167</v>
      </c>
      <c r="F133" t="s">
        <v>426</v>
      </c>
      <c r="G133" t="s">
        <v>141</v>
      </c>
      <c r="H133" t="s">
        <v>130</v>
      </c>
      <c r="I133" t="s">
        <v>427</v>
      </c>
      <c r="J133" t="s">
        <v>428</v>
      </c>
      <c r="K133" t="s">
        <v>20</v>
      </c>
      <c r="L133" t="s">
        <v>21</v>
      </c>
    </row>
    <row r="134" spans="1:12" x14ac:dyDescent="0.3">
      <c r="A134">
        <v>1198</v>
      </c>
      <c r="B134" t="s">
        <v>107</v>
      </c>
      <c r="C134">
        <v>22</v>
      </c>
      <c r="D134" t="s">
        <v>24</v>
      </c>
      <c r="E134" t="s">
        <v>25</v>
      </c>
      <c r="F134" t="s">
        <v>429</v>
      </c>
      <c r="G134" t="s">
        <v>86</v>
      </c>
      <c r="H134" t="s">
        <v>28</v>
      </c>
      <c r="I134" t="s">
        <v>430</v>
      </c>
      <c r="J134" t="s">
        <v>431</v>
      </c>
      <c r="K134" t="s">
        <v>60</v>
      </c>
      <c r="L134" t="s">
        <v>101</v>
      </c>
    </row>
    <row r="135" spans="1:12" x14ac:dyDescent="0.3">
      <c r="A135">
        <v>1140</v>
      </c>
      <c r="B135" t="s">
        <v>163</v>
      </c>
      <c r="C135">
        <v>23</v>
      </c>
      <c r="D135" t="s">
        <v>108</v>
      </c>
      <c r="E135" t="s">
        <v>167</v>
      </c>
      <c r="F135" t="s">
        <v>432</v>
      </c>
      <c r="G135" t="s">
        <v>71</v>
      </c>
      <c r="H135" t="s">
        <v>142</v>
      </c>
      <c r="I135" t="s">
        <v>383</v>
      </c>
      <c r="J135" t="s">
        <v>433</v>
      </c>
      <c r="K135" t="s">
        <v>33</v>
      </c>
      <c r="L135" t="s">
        <v>31</v>
      </c>
    </row>
    <row r="136" spans="1:12" x14ac:dyDescent="0.3">
      <c r="A136">
        <v>1438</v>
      </c>
      <c r="B136" t="s">
        <v>107</v>
      </c>
      <c r="C136">
        <v>21</v>
      </c>
      <c r="D136" t="s">
        <v>63</v>
      </c>
      <c r="E136" t="s">
        <v>80</v>
      </c>
      <c r="F136" t="s">
        <v>434</v>
      </c>
      <c r="G136" t="s">
        <v>57</v>
      </c>
      <c r="H136" t="s">
        <v>130</v>
      </c>
      <c r="I136" t="s">
        <v>247</v>
      </c>
      <c r="J136" t="s">
        <v>435</v>
      </c>
      <c r="K136" t="s">
        <v>20</v>
      </c>
      <c r="L136" t="s">
        <v>78</v>
      </c>
    </row>
    <row r="137" spans="1:12" x14ac:dyDescent="0.3">
      <c r="A137">
        <v>1027</v>
      </c>
      <c r="B137" t="s">
        <v>79</v>
      </c>
      <c r="C137">
        <v>22</v>
      </c>
      <c r="D137" t="s">
        <v>69</v>
      </c>
      <c r="E137" t="s">
        <v>43</v>
      </c>
      <c r="F137" t="s">
        <v>436</v>
      </c>
      <c r="G137" t="s">
        <v>16</v>
      </c>
      <c r="H137" t="s">
        <v>90</v>
      </c>
      <c r="I137" t="s">
        <v>329</v>
      </c>
      <c r="J137" t="s">
        <v>437</v>
      </c>
      <c r="K137" t="s">
        <v>96</v>
      </c>
      <c r="L137" t="s">
        <v>41</v>
      </c>
    </row>
    <row r="138" spans="1:12" x14ac:dyDescent="0.3">
      <c r="A138">
        <v>1294</v>
      </c>
      <c r="B138" t="s">
        <v>163</v>
      </c>
      <c r="C138">
        <v>24</v>
      </c>
      <c r="D138" t="s">
        <v>102</v>
      </c>
      <c r="E138" t="s">
        <v>121</v>
      </c>
      <c r="F138" t="s">
        <v>438</v>
      </c>
      <c r="G138" t="s">
        <v>66</v>
      </c>
      <c r="H138" t="s">
        <v>104</v>
      </c>
      <c r="I138" t="s">
        <v>439</v>
      </c>
      <c r="J138" t="s">
        <v>440</v>
      </c>
      <c r="K138" t="s">
        <v>33</v>
      </c>
      <c r="L138" t="s">
        <v>21</v>
      </c>
    </row>
    <row r="139" spans="1:12" x14ac:dyDescent="0.3">
      <c r="A139">
        <v>1401</v>
      </c>
      <c r="B139" t="s">
        <v>47</v>
      </c>
      <c r="C139" t="s">
        <v>128</v>
      </c>
      <c r="D139" t="s">
        <v>42</v>
      </c>
      <c r="E139" t="s">
        <v>156</v>
      </c>
      <c r="F139" t="s">
        <v>441</v>
      </c>
      <c r="G139" t="s">
        <v>66</v>
      </c>
      <c r="H139" t="s">
        <v>130</v>
      </c>
      <c r="I139" t="s">
        <v>376</v>
      </c>
      <c r="J139" t="s">
        <v>442</v>
      </c>
      <c r="K139" t="s">
        <v>20</v>
      </c>
      <c r="L139" t="s">
        <v>31</v>
      </c>
    </row>
    <row r="140" spans="1:12" x14ac:dyDescent="0.3">
      <c r="A140">
        <v>1445</v>
      </c>
      <c r="B140" t="s">
        <v>79</v>
      </c>
      <c r="C140" t="s">
        <v>128</v>
      </c>
      <c r="D140" t="s">
        <v>63</v>
      </c>
      <c r="E140" t="s">
        <v>64</v>
      </c>
      <c r="F140" t="s">
        <v>443</v>
      </c>
      <c r="G140" t="s">
        <v>66</v>
      </c>
      <c r="H140" t="s">
        <v>17</v>
      </c>
      <c r="I140" t="s">
        <v>444</v>
      </c>
      <c r="J140" t="s">
        <v>132</v>
      </c>
      <c r="K140" t="s">
        <v>60</v>
      </c>
      <c r="L140" t="s">
        <v>21</v>
      </c>
    </row>
    <row r="141" spans="1:12" x14ac:dyDescent="0.3">
      <c r="A141">
        <v>1366</v>
      </c>
      <c r="B141" t="s">
        <v>163</v>
      </c>
      <c r="C141">
        <v>20</v>
      </c>
      <c r="D141" t="s">
        <v>69</v>
      </c>
      <c r="E141" t="s">
        <v>80</v>
      </c>
      <c r="F141" t="s">
        <v>445</v>
      </c>
      <c r="G141" t="s">
        <v>23</v>
      </c>
      <c r="H141" t="s">
        <v>142</v>
      </c>
      <c r="I141" t="s">
        <v>210</v>
      </c>
      <c r="J141" t="s">
        <v>271</v>
      </c>
      <c r="K141" t="s">
        <v>20</v>
      </c>
      <c r="L141" t="s">
        <v>54</v>
      </c>
    </row>
    <row r="142" spans="1:12" x14ac:dyDescent="0.3">
      <c r="A142">
        <v>1330</v>
      </c>
      <c r="B142" t="s">
        <v>107</v>
      </c>
      <c r="C142">
        <v>23</v>
      </c>
      <c r="D142" t="s">
        <v>108</v>
      </c>
      <c r="E142" t="s">
        <v>14</v>
      </c>
      <c r="F142" t="s">
        <v>446</v>
      </c>
      <c r="G142" t="s">
        <v>23</v>
      </c>
      <c r="H142" t="s">
        <v>90</v>
      </c>
      <c r="I142" t="s">
        <v>384</v>
      </c>
      <c r="J142" t="s">
        <v>193</v>
      </c>
      <c r="K142" t="s">
        <v>96</v>
      </c>
      <c r="L142" t="s">
        <v>61</v>
      </c>
    </row>
    <row r="143" spans="1:12" x14ac:dyDescent="0.3">
      <c r="A143">
        <v>1355</v>
      </c>
      <c r="B143" t="s">
        <v>117</v>
      </c>
      <c r="C143">
        <v>20</v>
      </c>
      <c r="D143" t="s">
        <v>42</v>
      </c>
      <c r="E143" t="s">
        <v>64</v>
      </c>
      <c r="F143" t="s">
        <v>447</v>
      </c>
      <c r="G143" t="s">
        <v>71</v>
      </c>
      <c r="H143" t="s">
        <v>218</v>
      </c>
      <c r="I143" t="s">
        <v>448</v>
      </c>
      <c r="J143" t="s">
        <v>449</v>
      </c>
      <c r="K143" t="s">
        <v>53</v>
      </c>
      <c r="L143" t="s">
        <v>101</v>
      </c>
    </row>
    <row r="144" spans="1:12" x14ac:dyDescent="0.3">
      <c r="A144">
        <v>1116</v>
      </c>
      <c r="B144" t="s">
        <v>12</v>
      </c>
      <c r="C144">
        <v>22</v>
      </c>
      <c r="D144" t="s">
        <v>55</v>
      </c>
      <c r="E144" t="s">
        <v>48</v>
      </c>
      <c r="F144" t="s">
        <v>450</v>
      </c>
      <c r="G144" t="s">
        <v>66</v>
      </c>
      <c r="H144" t="s">
        <v>142</v>
      </c>
      <c r="I144" t="s">
        <v>354</v>
      </c>
      <c r="J144" t="s">
        <v>451</v>
      </c>
      <c r="K144" t="s">
        <v>96</v>
      </c>
      <c r="L144" t="s">
        <v>61</v>
      </c>
    </row>
    <row r="145" spans="1:12" x14ac:dyDescent="0.3">
      <c r="A145">
        <v>1099</v>
      </c>
      <c r="B145" t="s">
        <v>163</v>
      </c>
      <c r="D145" t="s">
        <v>63</v>
      </c>
      <c r="E145" t="s">
        <v>34</v>
      </c>
      <c r="F145" t="s">
        <v>452</v>
      </c>
      <c r="G145" t="s">
        <v>50</v>
      </c>
      <c r="H145" t="s">
        <v>37</v>
      </c>
      <c r="I145" t="s">
        <v>453</v>
      </c>
      <c r="J145" t="s">
        <v>352</v>
      </c>
      <c r="K145" t="s">
        <v>20</v>
      </c>
      <c r="L145" t="s">
        <v>101</v>
      </c>
    </row>
    <row r="146" spans="1:12" x14ac:dyDescent="0.3">
      <c r="A146">
        <v>1193</v>
      </c>
      <c r="B146" t="s">
        <v>107</v>
      </c>
      <c r="C146">
        <v>21</v>
      </c>
      <c r="D146" t="s">
        <v>42</v>
      </c>
      <c r="E146" t="s">
        <v>121</v>
      </c>
      <c r="F146" t="s">
        <v>454</v>
      </c>
      <c r="G146" t="s">
        <v>141</v>
      </c>
      <c r="H146" t="s">
        <v>130</v>
      </c>
      <c r="I146" t="s">
        <v>455</v>
      </c>
      <c r="J146" t="s">
        <v>407</v>
      </c>
      <c r="K146" t="s">
        <v>53</v>
      </c>
      <c r="L146" t="s">
        <v>21</v>
      </c>
    </row>
    <row r="147" spans="1:12" x14ac:dyDescent="0.3">
      <c r="A147">
        <v>1303</v>
      </c>
      <c r="B147" t="s">
        <v>120</v>
      </c>
      <c r="C147">
        <v>20</v>
      </c>
      <c r="D147" t="s">
        <v>55</v>
      </c>
      <c r="E147" t="s">
        <v>14</v>
      </c>
      <c r="F147" t="s">
        <v>456</v>
      </c>
      <c r="G147" t="s">
        <v>50</v>
      </c>
      <c r="H147" t="s">
        <v>142</v>
      </c>
      <c r="I147" t="s">
        <v>457</v>
      </c>
      <c r="J147" t="s">
        <v>458</v>
      </c>
      <c r="K147" t="s">
        <v>96</v>
      </c>
      <c r="L147" t="s">
        <v>54</v>
      </c>
    </row>
    <row r="148" spans="1:12" x14ac:dyDescent="0.3">
      <c r="A148">
        <v>1493</v>
      </c>
      <c r="B148" t="s">
        <v>74</v>
      </c>
      <c r="C148" t="s">
        <v>23</v>
      </c>
      <c r="D148" t="s">
        <v>69</v>
      </c>
      <c r="E148" t="s">
        <v>48</v>
      </c>
      <c r="F148" t="s">
        <v>459</v>
      </c>
      <c r="G148" t="s">
        <v>16</v>
      </c>
      <c r="H148" t="s">
        <v>90</v>
      </c>
      <c r="I148" t="s">
        <v>460</v>
      </c>
      <c r="J148" t="s">
        <v>461</v>
      </c>
      <c r="K148" t="s">
        <v>60</v>
      </c>
      <c r="L148" t="s">
        <v>116</v>
      </c>
    </row>
    <row r="149" spans="1:12" x14ac:dyDescent="0.3">
      <c r="A149">
        <v>1016</v>
      </c>
      <c r="B149" t="s">
        <v>120</v>
      </c>
      <c r="C149">
        <v>22</v>
      </c>
      <c r="D149" t="s">
        <v>102</v>
      </c>
      <c r="E149" t="s">
        <v>84</v>
      </c>
      <c r="F149" t="s">
        <v>462</v>
      </c>
      <c r="G149" t="s">
        <v>27</v>
      </c>
      <c r="H149" t="s">
        <v>110</v>
      </c>
      <c r="I149" t="s">
        <v>263</v>
      </c>
      <c r="J149" t="s">
        <v>411</v>
      </c>
      <c r="K149" t="s">
        <v>60</v>
      </c>
      <c r="L149" t="s">
        <v>54</v>
      </c>
    </row>
    <row r="150" spans="1:12" x14ac:dyDescent="0.3">
      <c r="A150">
        <v>1133</v>
      </c>
      <c r="B150" t="s">
        <v>12</v>
      </c>
      <c r="C150" t="s">
        <v>97</v>
      </c>
      <c r="D150" t="s">
        <v>108</v>
      </c>
      <c r="E150" t="s">
        <v>156</v>
      </c>
      <c r="F150" t="s">
        <v>463</v>
      </c>
      <c r="G150" t="s">
        <v>86</v>
      </c>
      <c r="H150" t="s">
        <v>17</v>
      </c>
      <c r="I150" t="s">
        <v>250</v>
      </c>
      <c r="J150" t="s">
        <v>67</v>
      </c>
      <c r="K150" t="s">
        <v>96</v>
      </c>
      <c r="L150" t="s">
        <v>41</v>
      </c>
    </row>
    <row r="151" spans="1:12" x14ac:dyDescent="0.3">
      <c r="A151">
        <v>1360</v>
      </c>
      <c r="B151" t="s">
        <v>47</v>
      </c>
      <c r="C151">
        <v>18</v>
      </c>
      <c r="D151" t="s">
        <v>108</v>
      </c>
      <c r="E151" t="s">
        <v>167</v>
      </c>
      <c r="F151" t="s">
        <v>464</v>
      </c>
      <c r="G151" t="s">
        <v>86</v>
      </c>
      <c r="H151" t="s">
        <v>104</v>
      </c>
      <c r="I151" t="s">
        <v>433</v>
      </c>
      <c r="J151" t="s">
        <v>147</v>
      </c>
      <c r="K151" t="s">
        <v>60</v>
      </c>
      <c r="L151" t="s">
        <v>78</v>
      </c>
    </row>
    <row r="152" spans="1:12" x14ac:dyDescent="0.3">
      <c r="A152">
        <v>1109</v>
      </c>
      <c r="B152" t="s">
        <v>120</v>
      </c>
      <c r="C152">
        <v>24</v>
      </c>
      <c r="D152" t="s">
        <v>24</v>
      </c>
      <c r="E152" t="s">
        <v>80</v>
      </c>
      <c r="F152" t="s">
        <v>465</v>
      </c>
      <c r="G152" t="s">
        <v>86</v>
      </c>
      <c r="H152" t="s">
        <v>142</v>
      </c>
      <c r="I152" t="s">
        <v>466</v>
      </c>
      <c r="J152" t="s">
        <v>467</v>
      </c>
      <c r="K152" t="s">
        <v>53</v>
      </c>
      <c r="L152" t="s">
        <v>21</v>
      </c>
    </row>
    <row r="153" spans="1:12" x14ac:dyDescent="0.3">
      <c r="A153">
        <v>1086</v>
      </c>
      <c r="B153" t="s">
        <v>117</v>
      </c>
      <c r="C153" t="s">
        <v>97</v>
      </c>
      <c r="D153" t="s">
        <v>63</v>
      </c>
      <c r="E153" t="s">
        <v>48</v>
      </c>
      <c r="F153" t="s">
        <v>468</v>
      </c>
      <c r="G153" t="s">
        <v>141</v>
      </c>
      <c r="H153" t="s">
        <v>218</v>
      </c>
      <c r="I153" t="s">
        <v>469</v>
      </c>
      <c r="J153" t="s">
        <v>388</v>
      </c>
      <c r="K153" t="s">
        <v>40</v>
      </c>
      <c r="L153" t="s">
        <v>101</v>
      </c>
    </row>
    <row r="154" spans="1:12" x14ac:dyDescent="0.3">
      <c r="A154">
        <v>1046</v>
      </c>
      <c r="B154" t="s">
        <v>155</v>
      </c>
      <c r="C154" t="s">
        <v>23</v>
      </c>
      <c r="D154" t="s">
        <v>24</v>
      </c>
      <c r="E154" t="s">
        <v>121</v>
      </c>
      <c r="F154" t="s">
        <v>470</v>
      </c>
      <c r="G154" t="s">
        <v>71</v>
      </c>
      <c r="H154" t="s">
        <v>17</v>
      </c>
      <c r="I154" t="s">
        <v>471</v>
      </c>
      <c r="J154" t="s">
        <v>472</v>
      </c>
      <c r="K154" t="s">
        <v>96</v>
      </c>
      <c r="L154" t="s">
        <v>101</v>
      </c>
    </row>
    <row r="155" spans="1:12" x14ac:dyDescent="0.3">
      <c r="A155">
        <v>1271</v>
      </c>
      <c r="B155" t="s">
        <v>74</v>
      </c>
      <c r="C155" t="s">
        <v>97</v>
      </c>
      <c r="D155" t="s">
        <v>108</v>
      </c>
      <c r="E155" t="s">
        <v>64</v>
      </c>
      <c r="F155" t="s">
        <v>473</v>
      </c>
      <c r="G155" t="s">
        <v>36</v>
      </c>
      <c r="H155" t="s">
        <v>28</v>
      </c>
      <c r="I155" t="s">
        <v>474</v>
      </c>
      <c r="J155" t="s">
        <v>317</v>
      </c>
      <c r="K155" t="s">
        <v>20</v>
      </c>
      <c r="L155" t="s">
        <v>101</v>
      </c>
    </row>
    <row r="156" spans="1:12" x14ac:dyDescent="0.3">
      <c r="A156">
        <v>1315</v>
      </c>
      <c r="B156" t="s">
        <v>12</v>
      </c>
      <c r="C156">
        <v>23</v>
      </c>
      <c r="D156" t="s">
        <v>102</v>
      </c>
      <c r="E156" t="s">
        <v>80</v>
      </c>
      <c r="F156" t="s">
        <v>475</v>
      </c>
      <c r="G156" t="s">
        <v>23</v>
      </c>
      <c r="H156" t="s">
        <v>130</v>
      </c>
      <c r="I156" t="s">
        <v>364</v>
      </c>
      <c r="J156" t="s">
        <v>476</v>
      </c>
      <c r="K156" t="s">
        <v>33</v>
      </c>
      <c r="L156" t="s">
        <v>21</v>
      </c>
    </row>
    <row r="157" spans="1:12" x14ac:dyDescent="0.3">
      <c r="A157">
        <v>1296</v>
      </c>
      <c r="B157" t="s">
        <v>107</v>
      </c>
      <c r="C157">
        <v>24</v>
      </c>
      <c r="D157" t="s">
        <v>55</v>
      </c>
      <c r="E157" t="s">
        <v>43</v>
      </c>
      <c r="F157" t="s">
        <v>477</v>
      </c>
      <c r="G157" t="s">
        <v>16</v>
      </c>
      <c r="H157" t="s">
        <v>28</v>
      </c>
      <c r="I157" t="s">
        <v>123</v>
      </c>
      <c r="J157" t="s">
        <v>478</v>
      </c>
      <c r="K157" t="s">
        <v>96</v>
      </c>
      <c r="L157" t="s">
        <v>31</v>
      </c>
    </row>
    <row r="158" spans="1:12" x14ac:dyDescent="0.3">
      <c r="A158">
        <v>1409</v>
      </c>
      <c r="B158" t="s">
        <v>163</v>
      </c>
      <c r="C158">
        <v>23</v>
      </c>
      <c r="D158" t="s">
        <v>69</v>
      </c>
      <c r="E158" t="s">
        <v>121</v>
      </c>
      <c r="F158" t="s">
        <v>479</v>
      </c>
      <c r="G158" t="s">
        <v>50</v>
      </c>
      <c r="H158" t="s">
        <v>110</v>
      </c>
      <c r="I158" t="s">
        <v>480</v>
      </c>
      <c r="J158" t="s">
        <v>481</v>
      </c>
      <c r="K158" t="s">
        <v>33</v>
      </c>
      <c r="L158" t="s">
        <v>61</v>
      </c>
    </row>
    <row r="159" spans="1:12" x14ac:dyDescent="0.3">
      <c r="A159">
        <v>1301</v>
      </c>
      <c r="B159" t="s">
        <v>120</v>
      </c>
      <c r="C159">
        <v>24</v>
      </c>
      <c r="D159" t="s">
        <v>55</v>
      </c>
      <c r="E159" t="s">
        <v>80</v>
      </c>
      <c r="F159" t="s">
        <v>482</v>
      </c>
      <c r="G159" t="s">
        <v>50</v>
      </c>
      <c r="H159" t="s">
        <v>37</v>
      </c>
      <c r="I159" t="s">
        <v>95</v>
      </c>
      <c r="J159" t="s">
        <v>233</v>
      </c>
      <c r="K159" t="s">
        <v>96</v>
      </c>
      <c r="L159" t="s">
        <v>101</v>
      </c>
    </row>
    <row r="160" spans="1:12" x14ac:dyDescent="0.3">
      <c r="A160">
        <v>1433</v>
      </c>
      <c r="B160" t="s">
        <v>120</v>
      </c>
      <c r="C160">
        <v>18</v>
      </c>
      <c r="D160" t="s">
        <v>55</v>
      </c>
      <c r="E160" t="s">
        <v>34</v>
      </c>
      <c r="F160" t="s">
        <v>483</v>
      </c>
      <c r="G160" t="s">
        <v>50</v>
      </c>
      <c r="H160" t="s">
        <v>218</v>
      </c>
      <c r="I160" t="s">
        <v>484</v>
      </c>
      <c r="J160" t="s">
        <v>485</v>
      </c>
      <c r="K160" t="s">
        <v>60</v>
      </c>
      <c r="L160" t="s">
        <v>116</v>
      </c>
    </row>
    <row r="161" spans="1:12" x14ac:dyDescent="0.3">
      <c r="A161">
        <v>1256</v>
      </c>
      <c r="B161" t="s">
        <v>155</v>
      </c>
      <c r="C161">
        <v>22</v>
      </c>
      <c r="D161" t="s">
        <v>69</v>
      </c>
      <c r="E161" t="s">
        <v>34</v>
      </c>
      <c r="F161" t="s">
        <v>486</v>
      </c>
      <c r="G161" t="s">
        <v>86</v>
      </c>
      <c r="H161" t="s">
        <v>218</v>
      </c>
      <c r="I161" t="s">
        <v>487</v>
      </c>
      <c r="J161" t="s">
        <v>488</v>
      </c>
      <c r="K161" t="s">
        <v>60</v>
      </c>
      <c r="L161" t="s">
        <v>54</v>
      </c>
    </row>
    <row r="162" spans="1:12" x14ac:dyDescent="0.3">
      <c r="A162">
        <v>1419</v>
      </c>
      <c r="B162" t="s">
        <v>117</v>
      </c>
      <c r="D162" t="s">
        <v>42</v>
      </c>
      <c r="E162" t="s">
        <v>80</v>
      </c>
      <c r="F162" t="s">
        <v>489</v>
      </c>
      <c r="G162" t="s">
        <v>36</v>
      </c>
      <c r="H162" t="s">
        <v>218</v>
      </c>
      <c r="I162" t="s">
        <v>490</v>
      </c>
      <c r="J162" t="s">
        <v>227</v>
      </c>
      <c r="K162" t="s">
        <v>20</v>
      </c>
      <c r="L162" t="s">
        <v>116</v>
      </c>
    </row>
    <row r="163" spans="1:12" x14ac:dyDescent="0.3">
      <c r="A163">
        <v>1413</v>
      </c>
      <c r="B163" t="s">
        <v>107</v>
      </c>
      <c r="C163" t="s">
        <v>62</v>
      </c>
      <c r="D163" t="s">
        <v>108</v>
      </c>
      <c r="E163" t="s">
        <v>80</v>
      </c>
      <c r="F163" t="s">
        <v>491</v>
      </c>
      <c r="G163" t="s">
        <v>16</v>
      </c>
      <c r="H163" t="s">
        <v>142</v>
      </c>
      <c r="I163" t="s">
        <v>492</v>
      </c>
      <c r="J163" t="s">
        <v>493</v>
      </c>
      <c r="K163" t="s">
        <v>53</v>
      </c>
      <c r="L163" t="s">
        <v>54</v>
      </c>
    </row>
    <row r="164" spans="1:12" x14ac:dyDescent="0.3">
      <c r="A164">
        <v>1385</v>
      </c>
      <c r="B164" t="s">
        <v>79</v>
      </c>
      <c r="C164">
        <v>18</v>
      </c>
      <c r="D164" t="s">
        <v>108</v>
      </c>
      <c r="E164" t="s">
        <v>84</v>
      </c>
      <c r="F164" t="s">
        <v>494</v>
      </c>
      <c r="G164" t="s">
        <v>16</v>
      </c>
      <c r="H164" t="s">
        <v>218</v>
      </c>
      <c r="I164" t="s">
        <v>198</v>
      </c>
      <c r="J164" t="s">
        <v>357</v>
      </c>
      <c r="K164" t="s">
        <v>53</v>
      </c>
      <c r="L164" t="s">
        <v>41</v>
      </c>
    </row>
    <row r="165" spans="1:12" x14ac:dyDescent="0.3">
      <c r="A165">
        <v>1467</v>
      </c>
      <c r="B165" t="s">
        <v>163</v>
      </c>
      <c r="C165" t="s">
        <v>128</v>
      </c>
      <c r="D165" t="s">
        <v>42</v>
      </c>
      <c r="E165" t="s">
        <v>167</v>
      </c>
      <c r="F165" t="s">
        <v>495</v>
      </c>
      <c r="G165" t="s">
        <v>27</v>
      </c>
      <c r="H165" t="s">
        <v>17</v>
      </c>
      <c r="I165" t="s">
        <v>496</v>
      </c>
      <c r="J165" t="s">
        <v>277</v>
      </c>
      <c r="K165" t="s">
        <v>96</v>
      </c>
      <c r="L165" t="s">
        <v>41</v>
      </c>
    </row>
    <row r="166" spans="1:12" x14ac:dyDescent="0.3">
      <c r="A166">
        <v>1324</v>
      </c>
      <c r="B166" t="s">
        <v>107</v>
      </c>
      <c r="C166" t="s">
        <v>97</v>
      </c>
      <c r="D166" t="s">
        <v>69</v>
      </c>
      <c r="E166" t="s">
        <v>43</v>
      </c>
      <c r="F166" t="s">
        <v>497</v>
      </c>
      <c r="G166" t="s">
        <v>50</v>
      </c>
      <c r="H166" t="s">
        <v>110</v>
      </c>
      <c r="I166" t="s">
        <v>351</v>
      </c>
      <c r="J166" t="s">
        <v>498</v>
      </c>
      <c r="K166" t="s">
        <v>60</v>
      </c>
      <c r="L166" t="s">
        <v>61</v>
      </c>
    </row>
    <row r="167" spans="1:12" x14ac:dyDescent="0.3">
      <c r="A167">
        <v>1414</v>
      </c>
      <c r="B167" t="s">
        <v>47</v>
      </c>
      <c r="C167">
        <v>18</v>
      </c>
      <c r="D167" t="s">
        <v>55</v>
      </c>
      <c r="E167" t="s">
        <v>14</v>
      </c>
      <c r="F167" t="s">
        <v>499</v>
      </c>
      <c r="G167" t="s">
        <v>57</v>
      </c>
      <c r="H167" t="s">
        <v>76</v>
      </c>
      <c r="I167" t="s">
        <v>471</v>
      </c>
      <c r="J167" t="s">
        <v>255</v>
      </c>
      <c r="K167" t="s">
        <v>53</v>
      </c>
      <c r="L167" t="s">
        <v>31</v>
      </c>
    </row>
    <row r="168" spans="1:12" x14ac:dyDescent="0.3">
      <c r="A168">
        <v>1391</v>
      </c>
      <c r="B168" t="s">
        <v>12</v>
      </c>
      <c r="C168">
        <v>23</v>
      </c>
      <c r="D168" t="s">
        <v>24</v>
      </c>
      <c r="E168" t="s">
        <v>43</v>
      </c>
      <c r="F168" t="s">
        <v>500</v>
      </c>
      <c r="G168" t="s">
        <v>50</v>
      </c>
      <c r="H168" t="s">
        <v>110</v>
      </c>
      <c r="I168" t="s">
        <v>451</v>
      </c>
      <c r="J168" t="s">
        <v>216</v>
      </c>
      <c r="K168" t="s">
        <v>40</v>
      </c>
      <c r="L168" t="s">
        <v>116</v>
      </c>
    </row>
    <row r="169" spans="1:12" x14ac:dyDescent="0.3">
      <c r="A169">
        <v>1349</v>
      </c>
      <c r="B169" t="s">
        <v>117</v>
      </c>
      <c r="C169">
        <v>24</v>
      </c>
      <c r="D169" t="s">
        <v>69</v>
      </c>
      <c r="E169" t="s">
        <v>84</v>
      </c>
      <c r="F169" t="s">
        <v>501</v>
      </c>
      <c r="G169" t="s">
        <v>57</v>
      </c>
      <c r="H169" t="s">
        <v>218</v>
      </c>
      <c r="I169" t="s">
        <v>502</v>
      </c>
      <c r="J169" t="s">
        <v>300</v>
      </c>
      <c r="K169" t="s">
        <v>60</v>
      </c>
      <c r="L169" t="s">
        <v>21</v>
      </c>
    </row>
    <row r="170" spans="1:12" x14ac:dyDescent="0.3">
      <c r="A170">
        <v>1486</v>
      </c>
      <c r="B170" t="s">
        <v>136</v>
      </c>
      <c r="C170">
        <v>24</v>
      </c>
      <c r="D170" t="s">
        <v>55</v>
      </c>
      <c r="E170" t="s">
        <v>121</v>
      </c>
      <c r="F170" t="s">
        <v>503</v>
      </c>
      <c r="G170" t="s">
        <v>141</v>
      </c>
      <c r="H170" t="s">
        <v>37</v>
      </c>
      <c r="I170" t="s">
        <v>504</v>
      </c>
      <c r="J170" t="s">
        <v>242</v>
      </c>
      <c r="K170" t="s">
        <v>53</v>
      </c>
      <c r="L170" t="s">
        <v>41</v>
      </c>
    </row>
    <row r="171" spans="1:12" x14ac:dyDescent="0.3">
      <c r="A171">
        <v>1060</v>
      </c>
      <c r="B171" t="s">
        <v>12</v>
      </c>
      <c r="C171" t="s">
        <v>97</v>
      </c>
      <c r="D171" t="s">
        <v>102</v>
      </c>
      <c r="E171" t="s">
        <v>14</v>
      </c>
      <c r="F171" t="s">
        <v>505</v>
      </c>
      <c r="G171" t="s">
        <v>50</v>
      </c>
      <c r="H171" t="s">
        <v>130</v>
      </c>
      <c r="I171" t="s">
        <v>506</v>
      </c>
      <c r="J171" t="s">
        <v>507</v>
      </c>
      <c r="K171" t="s">
        <v>60</v>
      </c>
      <c r="L171" t="s">
        <v>54</v>
      </c>
    </row>
    <row r="172" spans="1:12" x14ac:dyDescent="0.3">
      <c r="A172">
        <v>1321</v>
      </c>
      <c r="B172" t="s">
        <v>74</v>
      </c>
      <c r="C172" t="s">
        <v>97</v>
      </c>
      <c r="D172" t="s">
        <v>24</v>
      </c>
      <c r="E172" t="s">
        <v>167</v>
      </c>
      <c r="F172" t="s">
        <v>508</v>
      </c>
      <c r="G172" t="s">
        <v>16</v>
      </c>
      <c r="H172" t="s">
        <v>218</v>
      </c>
      <c r="I172" t="s">
        <v>269</v>
      </c>
      <c r="J172" t="s">
        <v>210</v>
      </c>
      <c r="K172" t="s">
        <v>53</v>
      </c>
      <c r="L172" t="s">
        <v>41</v>
      </c>
    </row>
    <row r="173" spans="1:12" x14ac:dyDescent="0.3">
      <c r="A173">
        <v>1372</v>
      </c>
      <c r="B173" t="s">
        <v>163</v>
      </c>
      <c r="C173">
        <v>22</v>
      </c>
      <c r="D173" t="s">
        <v>63</v>
      </c>
      <c r="E173" t="s">
        <v>80</v>
      </c>
      <c r="F173" t="s">
        <v>509</v>
      </c>
      <c r="G173" t="s">
        <v>86</v>
      </c>
      <c r="H173" t="s">
        <v>130</v>
      </c>
      <c r="I173" t="s">
        <v>510</v>
      </c>
      <c r="J173" t="s">
        <v>511</v>
      </c>
      <c r="K173" t="s">
        <v>60</v>
      </c>
      <c r="L173" t="s">
        <v>21</v>
      </c>
    </row>
    <row r="174" spans="1:12" x14ac:dyDescent="0.3">
      <c r="A174">
        <v>1254</v>
      </c>
      <c r="B174" t="s">
        <v>117</v>
      </c>
      <c r="C174">
        <v>22</v>
      </c>
      <c r="D174" t="s">
        <v>108</v>
      </c>
      <c r="E174" t="s">
        <v>167</v>
      </c>
      <c r="F174" t="s">
        <v>512</v>
      </c>
      <c r="G174" t="s">
        <v>36</v>
      </c>
      <c r="H174" t="s">
        <v>37</v>
      </c>
      <c r="I174" t="s">
        <v>474</v>
      </c>
      <c r="J174" t="s">
        <v>513</v>
      </c>
      <c r="K174" t="s">
        <v>96</v>
      </c>
      <c r="L174" t="s">
        <v>41</v>
      </c>
    </row>
    <row r="175" spans="1:12" x14ac:dyDescent="0.3">
      <c r="A175">
        <v>1460</v>
      </c>
      <c r="B175" t="s">
        <v>120</v>
      </c>
      <c r="C175">
        <v>18</v>
      </c>
      <c r="D175" t="s">
        <v>102</v>
      </c>
      <c r="E175" t="s">
        <v>156</v>
      </c>
      <c r="F175" t="s">
        <v>514</v>
      </c>
      <c r="G175" t="s">
        <v>141</v>
      </c>
      <c r="H175" t="s">
        <v>142</v>
      </c>
      <c r="I175" t="s">
        <v>261</v>
      </c>
      <c r="J175" t="s">
        <v>455</v>
      </c>
      <c r="K175" t="s">
        <v>33</v>
      </c>
      <c r="L175" t="s">
        <v>78</v>
      </c>
    </row>
    <row r="176" spans="1:12" x14ac:dyDescent="0.3">
      <c r="A176">
        <v>1323</v>
      </c>
      <c r="B176" t="s">
        <v>47</v>
      </c>
      <c r="C176">
        <v>19</v>
      </c>
      <c r="D176" t="s">
        <v>42</v>
      </c>
      <c r="E176" t="s">
        <v>34</v>
      </c>
      <c r="F176" t="s">
        <v>515</v>
      </c>
      <c r="G176" t="s">
        <v>23</v>
      </c>
      <c r="H176" t="s">
        <v>28</v>
      </c>
      <c r="I176" t="s">
        <v>516</v>
      </c>
      <c r="J176" t="s">
        <v>517</v>
      </c>
      <c r="K176" t="s">
        <v>53</v>
      </c>
      <c r="L176" t="s">
        <v>78</v>
      </c>
    </row>
    <row r="177" spans="1:12" x14ac:dyDescent="0.3">
      <c r="A177">
        <v>1300</v>
      </c>
      <c r="B177" t="s">
        <v>163</v>
      </c>
      <c r="C177" t="s">
        <v>62</v>
      </c>
      <c r="D177" t="s">
        <v>33</v>
      </c>
      <c r="E177" t="s">
        <v>48</v>
      </c>
      <c r="F177" t="s">
        <v>518</v>
      </c>
      <c r="G177" t="s">
        <v>27</v>
      </c>
      <c r="H177" t="s">
        <v>17</v>
      </c>
      <c r="I177" t="s">
        <v>419</v>
      </c>
      <c r="J177" t="s">
        <v>519</v>
      </c>
      <c r="K177" t="s">
        <v>53</v>
      </c>
      <c r="L177" t="s">
        <v>116</v>
      </c>
    </row>
    <row r="178" spans="1:12" x14ac:dyDescent="0.3">
      <c r="A178">
        <v>1307</v>
      </c>
      <c r="B178" t="s">
        <v>47</v>
      </c>
      <c r="C178">
        <v>18</v>
      </c>
      <c r="D178" t="s">
        <v>63</v>
      </c>
      <c r="E178" t="s">
        <v>34</v>
      </c>
      <c r="F178" t="s">
        <v>520</v>
      </c>
      <c r="G178" t="s">
        <v>50</v>
      </c>
      <c r="H178" t="s">
        <v>17</v>
      </c>
      <c r="I178" t="s">
        <v>166</v>
      </c>
      <c r="J178" t="s">
        <v>162</v>
      </c>
      <c r="K178" t="s">
        <v>60</v>
      </c>
      <c r="L178" t="s">
        <v>78</v>
      </c>
    </row>
    <row r="179" spans="1:12" x14ac:dyDescent="0.3">
      <c r="A179">
        <v>1135</v>
      </c>
      <c r="B179" t="s">
        <v>120</v>
      </c>
      <c r="C179">
        <v>25</v>
      </c>
      <c r="D179" t="s">
        <v>55</v>
      </c>
      <c r="E179" t="s">
        <v>121</v>
      </c>
      <c r="F179" t="s">
        <v>521</v>
      </c>
      <c r="G179" t="s">
        <v>16</v>
      </c>
      <c r="H179" t="s">
        <v>130</v>
      </c>
      <c r="I179" t="s">
        <v>269</v>
      </c>
      <c r="J179" t="s">
        <v>83</v>
      </c>
      <c r="K179" t="s">
        <v>96</v>
      </c>
      <c r="L179" t="s">
        <v>78</v>
      </c>
    </row>
    <row r="180" spans="1:12" x14ac:dyDescent="0.3">
      <c r="A180">
        <v>1486</v>
      </c>
      <c r="B180" t="s">
        <v>22</v>
      </c>
      <c r="C180" t="s">
        <v>128</v>
      </c>
      <c r="D180" t="s">
        <v>24</v>
      </c>
      <c r="E180" t="s">
        <v>64</v>
      </c>
      <c r="F180" t="s">
        <v>522</v>
      </c>
      <c r="G180" t="s">
        <v>27</v>
      </c>
      <c r="H180" t="s">
        <v>110</v>
      </c>
      <c r="I180" t="s">
        <v>213</v>
      </c>
      <c r="J180" t="s">
        <v>523</v>
      </c>
      <c r="K180" t="s">
        <v>33</v>
      </c>
      <c r="L180" t="s">
        <v>61</v>
      </c>
    </row>
    <row r="181" spans="1:12" x14ac:dyDescent="0.3">
      <c r="A181">
        <v>1088</v>
      </c>
      <c r="B181" t="s">
        <v>107</v>
      </c>
      <c r="C181">
        <v>23</v>
      </c>
      <c r="D181" t="s">
        <v>42</v>
      </c>
      <c r="E181" t="s">
        <v>14</v>
      </c>
      <c r="F181" t="s">
        <v>524</v>
      </c>
      <c r="G181" t="s">
        <v>141</v>
      </c>
      <c r="H181" t="s">
        <v>17</v>
      </c>
      <c r="I181" t="s">
        <v>245</v>
      </c>
      <c r="J181" t="s">
        <v>525</v>
      </c>
      <c r="K181" t="s">
        <v>96</v>
      </c>
      <c r="L181" t="s">
        <v>31</v>
      </c>
    </row>
    <row r="182" spans="1:12" x14ac:dyDescent="0.3">
      <c r="A182">
        <v>1454</v>
      </c>
      <c r="B182" t="s">
        <v>163</v>
      </c>
      <c r="C182">
        <v>22</v>
      </c>
      <c r="D182" t="s">
        <v>102</v>
      </c>
      <c r="E182" t="s">
        <v>25</v>
      </c>
      <c r="F182" t="s">
        <v>526</v>
      </c>
      <c r="G182" t="s">
        <v>141</v>
      </c>
      <c r="H182" t="s">
        <v>110</v>
      </c>
      <c r="I182" t="s">
        <v>170</v>
      </c>
      <c r="J182" t="s">
        <v>527</v>
      </c>
      <c r="K182" t="s">
        <v>20</v>
      </c>
      <c r="L182" t="s">
        <v>21</v>
      </c>
    </row>
    <row r="183" spans="1:12" x14ac:dyDescent="0.3">
      <c r="A183">
        <v>1141</v>
      </c>
      <c r="B183" t="s">
        <v>136</v>
      </c>
      <c r="C183">
        <v>25</v>
      </c>
      <c r="D183" t="s">
        <v>108</v>
      </c>
      <c r="E183" t="s">
        <v>48</v>
      </c>
      <c r="F183" t="s">
        <v>528</v>
      </c>
      <c r="G183" t="s">
        <v>50</v>
      </c>
      <c r="H183" t="s">
        <v>37</v>
      </c>
      <c r="I183" t="s">
        <v>198</v>
      </c>
      <c r="J183" t="s">
        <v>274</v>
      </c>
      <c r="K183" t="s">
        <v>20</v>
      </c>
      <c r="L183" t="s">
        <v>41</v>
      </c>
    </row>
    <row r="184" spans="1:12" x14ac:dyDescent="0.3">
      <c r="A184">
        <v>1412</v>
      </c>
      <c r="B184" t="s">
        <v>47</v>
      </c>
      <c r="C184">
        <v>20</v>
      </c>
      <c r="D184" t="s">
        <v>13</v>
      </c>
      <c r="E184" t="s">
        <v>84</v>
      </c>
      <c r="F184" t="s">
        <v>529</v>
      </c>
      <c r="G184" t="s">
        <v>23</v>
      </c>
      <c r="H184" t="s">
        <v>104</v>
      </c>
      <c r="I184" t="s">
        <v>38</v>
      </c>
      <c r="J184" t="s">
        <v>530</v>
      </c>
      <c r="K184" t="s">
        <v>33</v>
      </c>
      <c r="L184" t="s">
        <v>116</v>
      </c>
    </row>
    <row r="185" spans="1:12" x14ac:dyDescent="0.3">
      <c r="A185">
        <v>1364</v>
      </c>
      <c r="B185" t="s">
        <v>155</v>
      </c>
      <c r="C185">
        <v>21</v>
      </c>
      <c r="D185" t="s">
        <v>63</v>
      </c>
      <c r="E185" t="s">
        <v>80</v>
      </c>
      <c r="F185" t="s">
        <v>531</v>
      </c>
      <c r="G185" t="s">
        <v>27</v>
      </c>
      <c r="H185" t="s">
        <v>110</v>
      </c>
      <c r="I185" t="s">
        <v>435</v>
      </c>
      <c r="J185" t="s">
        <v>111</v>
      </c>
      <c r="K185" t="s">
        <v>33</v>
      </c>
      <c r="L185" t="s">
        <v>101</v>
      </c>
    </row>
    <row r="186" spans="1:12" x14ac:dyDescent="0.3">
      <c r="A186">
        <v>1319</v>
      </c>
      <c r="B186" t="s">
        <v>155</v>
      </c>
      <c r="C186">
        <v>23</v>
      </c>
      <c r="D186" t="s">
        <v>42</v>
      </c>
      <c r="E186" t="s">
        <v>34</v>
      </c>
      <c r="F186" t="s">
        <v>532</v>
      </c>
      <c r="G186" t="s">
        <v>57</v>
      </c>
      <c r="H186" t="s">
        <v>142</v>
      </c>
      <c r="I186" t="s">
        <v>323</v>
      </c>
      <c r="J186" t="s">
        <v>533</v>
      </c>
      <c r="K186" t="s">
        <v>33</v>
      </c>
      <c r="L186" t="s">
        <v>54</v>
      </c>
    </row>
    <row r="187" spans="1:12" x14ac:dyDescent="0.3">
      <c r="A187">
        <v>1340</v>
      </c>
      <c r="B187" t="s">
        <v>120</v>
      </c>
      <c r="C187">
        <v>23</v>
      </c>
      <c r="D187" t="s">
        <v>69</v>
      </c>
      <c r="E187" t="s">
        <v>84</v>
      </c>
      <c r="F187" t="s">
        <v>534</v>
      </c>
      <c r="G187" t="s">
        <v>86</v>
      </c>
      <c r="H187" t="s">
        <v>28</v>
      </c>
      <c r="I187" t="s">
        <v>535</v>
      </c>
      <c r="J187" t="s">
        <v>536</v>
      </c>
      <c r="K187" t="s">
        <v>33</v>
      </c>
      <c r="L187" t="s">
        <v>101</v>
      </c>
    </row>
    <row r="188" spans="1:12" x14ac:dyDescent="0.3">
      <c r="A188">
        <v>1420</v>
      </c>
      <c r="B188" t="s">
        <v>155</v>
      </c>
      <c r="C188">
        <v>22</v>
      </c>
      <c r="D188" t="s">
        <v>13</v>
      </c>
      <c r="E188" t="s">
        <v>80</v>
      </c>
      <c r="F188" t="s">
        <v>537</v>
      </c>
      <c r="G188" t="s">
        <v>36</v>
      </c>
      <c r="H188" t="s">
        <v>17</v>
      </c>
      <c r="I188" t="s">
        <v>538</v>
      </c>
      <c r="J188" t="s">
        <v>539</v>
      </c>
      <c r="K188" t="s">
        <v>40</v>
      </c>
      <c r="L188" t="s">
        <v>31</v>
      </c>
    </row>
    <row r="189" spans="1:12" x14ac:dyDescent="0.3">
      <c r="A189">
        <v>1119</v>
      </c>
      <c r="B189" t="s">
        <v>32</v>
      </c>
      <c r="C189">
        <v>20</v>
      </c>
      <c r="D189" t="s">
        <v>69</v>
      </c>
      <c r="E189" t="s">
        <v>25</v>
      </c>
      <c r="F189" t="s">
        <v>540</v>
      </c>
      <c r="G189" t="s">
        <v>16</v>
      </c>
      <c r="H189" t="s">
        <v>218</v>
      </c>
      <c r="I189" t="s">
        <v>541</v>
      </c>
      <c r="J189" t="s">
        <v>542</v>
      </c>
      <c r="K189" t="s">
        <v>20</v>
      </c>
      <c r="L189" t="s">
        <v>31</v>
      </c>
    </row>
    <row r="190" spans="1:12" x14ac:dyDescent="0.3">
      <c r="A190">
        <v>1496</v>
      </c>
      <c r="B190" t="s">
        <v>12</v>
      </c>
      <c r="C190">
        <v>24</v>
      </c>
      <c r="D190" t="s">
        <v>13</v>
      </c>
      <c r="E190" t="s">
        <v>43</v>
      </c>
      <c r="F190" t="s">
        <v>543</v>
      </c>
      <c r="G190" t="s">
        <v>36</v>
      </c>
      <c r="H190" t="s">
        <v>104</v>
      </c>
      <c r="I190" t="s">
        <v>544</v>
      </c>
      <c r="J190" t="s">
        <v>545</v>
      </c>
      <c r="K190" t="s">
        <v>53</v>
      </c>
      <c r="L190" t="s">
        <v>61</v>
      </c>
    </row>
    <row r="191" spans="1:12" x14ac:dyDescent="0.3">
      <c r="A191">
        <v>1480</v>
      </c>
      <c r="B191" t="s">
        <v>120</v>
      </c>
      <c r="C191" t="s">
        <v>62</v>
      </c>
      <c r="D191" t="s">
        <v>55</v>
      </c>
      <c r="E191" t="s">
        <v>156</v>
      </c>
      <c r="F191" t="s">
        <v>546</v>
      </c>
      <c r="G191" t="s">
        <v>141</v>
      </c>
      <c r="H191" t="s">
        <v>28</v>
      </c>
      <c r="I191" t="s">
        <v>547</v>
      </c>
      <c r="J191" t="s">
        <v>548</v>
      </c>
      <c r="K191" t="s">
        <v>60</v>
      </c>
      <c r="L191" t="s">
        <v>21</v>
      </c>
    </row>
    <row r="192" spans="1:12" x14ac:dyDescent="0.3">
      <c r="A192">
        <v>1377</v>
      </c>
      <c r="B192" t="s">
        <v>155</v>
      </c>
      <c r="C192">
        <v>25</v>
      </c>
      <c r="D192" t="s">
        <v>55</v>
      </c>
      <c r="E192" t="s">
        <v>48</v>
      </c>
      <c r="F192" t="s">
        <v>549</v>
      </c>
      <c r="G192" t="s">
        <v>36</v>
      </c>
      <c r="H192" t="s">
        <v>110</v>
      </c>
      <c r="I192" t="s">
        <v>550</v>
      </c>
      <c r="J192" t="s">
        <v>551</v>
      </c>
      <c r="K192" t="s">
        <v>40</v>
      </c>
      <c r="L192" t="s">
        <v>31</v>
      </c>
    </row>
    <row r="193" spans="1:12" x14ac:dyDescent="0.3">
      <c r="A193">
        <v>1424</v>
      </c>
      <c r="B193" t="s">
        <v>74</v>
      </c>
      <c r="C193" t="s">
        <v>62</v>
      </c>
      <c r="D193" t="s">
        <v>69</v>
      </c>
      <c r="E193" t="s">
        <v>14</v>
      </c>
      <c r="F193" t="s">
        <v>552</v>
      </c>
      <c r="G193" t="s">
        <v>27</v>
      </c>
      <c r="H193" t="s">
        <v>90</v>
      </c>
      <c r="I193" t="s">
        <v>91</v>
      </c>
      <c r="J193" t="s">
        <v>272</v>
      </c>
      <c r="K193" t="s">
        <v>20</v>
      </c>
      <c r="L193" t="s">
        <v>116</v>
      </c>
    </row>
    <row r="194" spans="1:12" x14ac:dyDescent="0.3">
      <c r="A194">
        <v>1472</v>
      </c>
      <c r="B194" t="s">
        <v>79</v>
      </c>
      <c r="C194">
        <v>22</v>
      </c>
      <c r="D194" t="s">
        <v>33</v>
      </c>
      <c r="E194" t="s">
        <v>80</v>
      </c>
      <c r="F194" t="s">
        <v>553</v>
      </c>
      <c r="G194" t="s">
        <v>141</v>
      </c>
      <c r="H194" t="s">
        <v>130</v>
      </c>
      <c r="I194" t="s">
        <v>193</v>
      </c>
      <c r="J194" t="s">
        <v>161</v>
      </c>
      <c r="K194" t="s">
        <v>20</v>
      </c>
      <c r="L194" t="s">
        <v>78</v>
      </c>
    </row>
    <row r="195" spans="1:12" x14ac:dyDescent="0.3">
      <c r="A195">
        <v>1372</v>
      </c>
      <c r="B195" t="s">
        <v>120</v>
      </c>
      <c r="D195" t="s">
        <v>102</v>
      </c>
      <c r="E195" t="s">
        <v>25</v>
      </c>
      <c r="F195" t="s">
        <v>554</v>
      </c>
      <c r="G195" t="s">
        <v>36</v>
      </c>
      <c r="H195" t="s">
        <v>104</v>
      </c>
      <c r="I195" t="s">
        <v>555</v>
      </c>
      <c r="J195" t="s">
        <v>556</v>
      </c>
      <c r="K195" t="s">
        <v>40</v>
      </c>
      <c r="L195" t="s">
        <v>78</v>
      </c>
    </row>
    <row r="196" spans="1:12" x14ac:dyDescent="0.3">
      <c r="A196">
        <v>1250</v>
      </c>
      <c r="B196" t="s">
        <v>47</v>
      </c>
      <c r="C196" t="s">
        <v>23</v>
      </c>
      <c r="D196" t="s">
        <v>63</v>
      </c>
      <c r="E196" t="s">
        <v>25</v>
      </c>
      <c r="F196" t="s">
        <v>557</v>
      </c>
      <c r="G196" t="s">
        <v>71</v>
      </c>
      <c r="H196" t="s">
        <v>218</v>
      </c>
      <c r="I196" t="s">
        <v>165</v>
      </c>
      <c r="J196" t="s">
        <v>308</v>
      </c>
      <c r="K196" t="s">
        <v>33</v>
      </c>
      <c r="L196" t="s">
        <v>54</v>
      </c>
    </row>
    <row r="197" spans="1:12" x14ac:dyDescent="0.3">
      <c r="A197">
        <v>1447</v>
      </c>
      <c r="B197" t="s">
        <v>79</v>
      </c>
      <c r="C197" t="s">
        <v>62</v>
      </c>
      <c r="D197" t="s">
        <v>63</v>
      </c>
      <c r="E197" t="s">
        <v>48</v>
      </c>
      <c r="F197" t="s">
        <v>558</v>
      </c>
      <c r="G197" t="s">
        <v>27</v>
      </c>
      <c r="H197" t="s">
        <v>90</v>
      </c>
      <c r="I197" t="s">
        <v>559</v>
      </c>
      <c r="J197" t="s">
        <v>560</v>
      </c>
      <c r="K197" t="s">
        <v>33</v>
      </c>
      <c r="L197" t="s">
        <v>61</v>
      </c>
    </row>
    <row r="198" spans="1:12" x14ac:dyDescent="0.3">
      <c r="A198">
        <v>1058</v>
      </c>
      <c r="B198" t="s">
        <v>32</v>
      </c>
      <c r="C198">
        <v>24</v>
      </c>
      <c r="D198" t="s">
        <v>102</v>
      </c>
      <c r="E198" t="s">
        <v>48</v>
      </c>
      <c r="F198" t="s">
        <v>561</v>
      </c>
      <c r="G198" t="s">
        <v>16</v>
      </c>
      <c r="H198" t="s">
        <v>104</v>
      </c>
      <c r="I198" t="s">
        <v>542</v>
      </c>
      <c r="J198" t="s">
        <v>562</v>
      </c>
      <c r="K198" t="s">
        <v>20</v>
      </c>
      <c r="L198" t="s">
        <v>101</v>
      </c>
    </row>
    <row r="199" spans="1:12" x14ac:dyDescent="0.3">
      <c r="A199">
        <v>1493</v>
      </c>
      <c r="B199" t="s">
        <v>74</v>
      </c>
      <c r="C199">
        <v>23</v>
      </c>
      <c r="D199" t="s">
        <v>69</v>
      </c>
      <c r="E199" t="s">
        <v>48</v>
      </c>
      <c r="F199" t="s">
        <v>563</v>
      </c>
      <c r="G199" t="s">
        <v>27</v>
      </c>
      <c r="H199" t="s">
        <v>104</v>
      </c>
      <c r="I199" t="s">
        <v>383</v>
      </c>
      <c r="J199" t="s">
        <v>414</v>
      </c>
      <c r="K199" t="s">
        <v>20</v>
      </c>
      <c r="L199" t="s">
        <v>61</v>
      </c>
    </row>
    <row r="200" spans="1:12" x14ac:dyDescent="0.3">
      <c r="A200">
        <v>1077</v>
      </c>
      <c r="B200" t="s">
        <v>120</v>
      </c>
      <c r="C200">
        <v>25</v>
      </c>
      <c r="D200" t="s">
        <v>24</v>
      </c>
      <c r="E200" t="s">
        <v>156</v>
      </c>
      <c r="F200" t="s">
        <v>564</v>
      </c>
      <c r="G200" t="s">
        <v>71</v>
      </c>
      <c r="H200" t="s">
        <v>110</v>
      </c>
      <c r="I200" t="s">
        <v>362</v>
      </c>
      <c r="J200" t="s">
        <v>38</v>
      </c>
      <c r="K200" t="s">
        <v>20</v>
      </c>
      <c r="L200" t="s">
        <v>78</v>
      </c>
    </row>
    <row r="201" spans="1:12" x14ac:dyDescent="0.3">
      <c r="A201">
        <v>1008</v>
      </c>
      <c r="B201" t="s">
        <v>12</v>
      </c>
      <c r="C201">
        <v>21</v>
      </c>
      <c r="D201" t="s">
        <v>24</v>
      </c>
      <c r="E201" t="s">
        <v>34</v>
      </c>
      <c r="F201" t="s">
        <v>565</v>
      </c>
      <c r="G201" t="s">
        <v>36</v>
      </c>
      <c r="H201" t="s">
        <v>37</v>
      </c>
      <c r="I201" t="s">
        <v>566</v>
      </c>
      <c r="J201" t="s">
        <v>213</v>
      </c>
      <c r="K201" t="s">
        <v>40</v>
      </c>
      <c r="L201" t="s">
        <v>116</v>
      </c>
    </row>
    <row r="202" spans="1:12" x14ac:dyDescent="0.3">
      <c r="A202">
        <v>1206</v>
      </c>
      <c r="B202" t="s">
        <v>32</v>
      </c>
      <c r="C202" t="s">
        <v>62</v>
      </c>
      <c r="D202" t="s">
        <v>102</v>
      </c>
      <c r="E202" t="s">
        <v>121</v>
      </c>
      <c r="F202" t="s">
        <v>567</v>
      </c>
      <c r="G202" t="s">
        <v>66</v>
      </c>
      <c r="H202" t="s">
        <v>90</v>
      </c>
      <c r="I202" t="s">
        <v>568</v>
      </c>
      <c r="J202" t="s">
        <v>527</v>
      </c>
      <c r="K202" t="s">
        <v>33</v>
      </c>
      <c r="L202" t="s">
        <v>78</v>
      </c>
    </row>
    <row r="203" spans="1:12" x14ac:dyDescent="0.3">
      <c r="A203">
        <v>1390</v>
      </c>
      <c r="B203" t="s">
        <v>107</v>
      </c>
      <c r="C203" t="s">
        <v>23</v>
      </c>
      <c r="D203" t="s">
        <v>63</v>
      </c>
      <c r="E203" t="s">
        <v>25</v>
      </c>
      <c r="F203" t="s">
        <v>569</v>
      </c>
      <c r="G203" t="s">
        <v>27</v>
      </c>
      <c r="H203" t="s">
        <v>28</v>
      </c>
      <c r="I203" t="s">
        <v>158</v>
      </c>
      <c r="J203" t="s">
        <v>277</v>
      </c>
      <c r="K203" t="s">
        <v>53</v>
      </c>
      <c r="L203" t="s">
        <v>101</v>
      </c>
    </row>
    <row r="204" spans="1:12" x14ac:dyDescent="0.3">
      <c r="A204">
        <v>1065</v>
      </c>
      <c r="B204" t="s">
        <v>32</v>
      </c>
      <c r="C204">
        <v>19</v>
      </c>
      <c r="D204" t="s">
        <v>69</v>
      </c>
      <c r="E204" t="s">
        <v>14</v>
      </c>
      <c r="F204" t="s">
        <v>570</v>
      </c>
      <c r="G204" t="s">
        <v>36</v>
      </c>
      <c r="H204" t="s">
        <v>218</v>
      </c>
      <c r="I204" t="s">
        <v>571</v>
      </c>
      <c r="J204" t="s">
        <v>288</v>
      </c>
      <c r="K204" t="s">
        <v>40</v>
      </c>
      <c r="L204" t="s">
        <v>78</v>
      </c>
    </row>
    <row r="205" spans="1:12" x14ac:dyDescent="0.3">
      <c r="A205">
        <v>1222</v>
      </c>
      <c r="B205" t="s">
        <v>136</v>
      </c>
      <c r="C205">
        <v>21</v>
      </c>
      <c r="D205" t="s">
        <v>13</v>
      </c>
      <c r="E205" t="s">
        <v>167</v>
      </c>
      <c r="F205" t="s">
        <v>572</v>
      </c>
      <c r="G205" t="s">
        <v>16</v>
      </c>
      <c r="H205" t="s">
        <v>110</v>
      </c>
      <c r="I205" t="s">
        <v>573</v>
      </c>
      <c r="J205" t="s">
        <v>58</v>
      </c>
      <c r="K205" t="s">
        <v>40</v>
      </c>
      <c r="L205" t="s">
        <v>116</v>
      </c>
    </row>
    <row r="206" spans="1:12" x14ac:dyDescent="0.3">
      <c r="A206">
        <v>1198</v>
      </c>
      <c r="B206" t="s">
        <v>117</v>
      </c>
      <c r="C206" t="s">
        <v>62</v>
      </c>
      <c r="D206" t="s">
        <v>108</v>
      </c>
      <c r="E206" t="s">
        <v>156</v>
      </c>
      <c r="F206" t="s">
        <v>574</v>
      </c>
      <c r="G206" t="s">
        <v>86</v>
      </c>
      <c r="H206" t="s">
        <v>90</v>
      </c>
      <c r="I206" t="s">
        <v>575</v>
      </c>
      <c r="J206" t="s">
        <v>162</v>
      </c>
      <c r="K206" t="s">
        <v>20</v>
      </c>
      <c r="L206" t="s">
        <v>54</v>
      </c>
    </row>
    <row r="207" spans="1:12" x14ac:dyDescent="0.3">
      <c r="A207">
        <v>1040</v>
      </c>
      <c r="B207" t="s">
        <v>120</v>
      </c>
      <c r="C207">
        <v>21</v>
      </c>
      <c r="D207" t="s">
        <v>108</v>
      </c>
      <c r="E207" t="s">
        <v>80</v>
      </c>
      <c r="F207" t="s">
        <v>576</v>
      </c>
      <c r="G207" t="s">
        <v>16</v>
      </c>
      <c r="H207" t="s">
        <v>37</v>
      </c>
      <c r="I207" t="s">
        <v>577</v>
      </c>
      <c r="J207" t="s">
        <v>578</v>
      </c>
      <c r="K207" t="s">
        <v>53</v>
      </c>
      <c r="L207" t="s">
        <v>116</v>
      </c>
    </row>
    <row r="208" spans="1:12" x14ac:dyDescent="0.3">
      <c r="A208">
        <v>1375</v>
      </c>
      <c r="B208" t="s">
        <v>74</v>
      </c>
      <c r="C208" t="s">
        <v>97</v>
      </c>
      <c r="D208" t="s">
        <v>42</v>
      </c>
      <c r="E208" t="s">
        <v>34</v>
      </c>
      <c r="F208" t="s">
        <v>579</v>
      </c>
      <c r="G208" t="s">
        <v>23</v>
      </c>
      <c r="H208" t="s">
        <v>218</v>
      </c>
      <c r="I208" t="s">
        <v>580</v>
      </c>
      <c r="J208" t="s">
        <v>325</v>
      </c>
      <c r="K208" t="s">
        <v>60</v>
      </c>
      <c r="L208" t="s">
        <v>78</v>
      </c>
    </row>
    <row r="209" spans="1:12" x14ac:dyDescent="0.3">
      <c r="A209">
        <v>1458</v>
      </c>
      <c r="B209" t="s">
        <v>22</v>
      </c>
      <c r="C209">
        <v>21</v>
      </c>
      <c r="D209" t="s">
        <v>13</v>
      </c>
      <c r="E209" t="s">
        <v>25</v>
      </c>
      <c r="F209" t="s">
        <v>581</v>
      </c>
      <c r="G209" t="s">
        <v>86</v>
      </c>
      <c r="H209" t="s">
        <v>110</v>
      </c>
      <c r="I209" t="s">
        <v>582</v>
      </c>
      <c r="J209" t="s">
        <v>224</v>
      </c>
      <c r="K209" t="s">
        <v>33</v>
      </c>
      <c r="L209" t="s">
        <v>54</v>
      </c>
    </row>
    <row r="210" spans="1:12" x14ac:dyDescent="0.3">
      <c r="A210">
        <v>1076</v>
      </c>
      <c r="B210" t="s">
        <v>22</v>
      </c>
      <c r="C210">
        <v>23</v>
      </c>
      <c r="D210" t="s">
        <v>55</v>
      </c>
      <c r="E210" t="s">
        <v>48</v>
      </c>
      <c r="F210" t="s">
        <v>583</v>
      </c>
      <c r="G210" t="s">
        <v>36</v>
      </c>
      <c r="H210" t="s">
        <v>218</v>
      </c>
      <c r="I210" t="s">
        <v>100</v>
      </c>
      <c r="J210" t="s">
        <v>451</v>
      </c>
      <c r="K210" t="s">
        <v>33</v>
      </c>
      <c r="L210" t="s">
        <v>41</v>
      </c>
    </row>
    <row r="211" spans="1:12" x14ac:dyDescent="0.3">
      <c r="A211">
        <v>1460</v>
      </c>
      <c r="B211" t="s">
        <v>32</v>
      </c>
      <c r="C211" t="s">
        <v>128</v>
      </c>
      <c r="D211" t="s">
        <v>33</v>
      </c>
      <c r="E211" t="s">
        <v>80</v>
      </c>
      <c r="F211" t="s">
        <v>584</v>
      </c>
      <c r="G211" t="s">
        <v>86</v>
      </c>
      <c r="H211" t="s">
        <v>90</v>
      </c>
      <c r="I211" t="s">
        <v>585</v>
      </c>
      <c r="J211" t="s">
        <v>414</v>
      </c>
      <c r="K211" t="s">
        <v>33</v>
      </c>
      <c r="L211" t="s">
        <v>21</v>
      </c>
    </row>
    <row r="212" spans="1:12" x14ac:dyDescent="0.3">
      <c r="A212">
        <v>1153</v>
      </c>
      <c r="B212" t="s">
        <v>163</v>
      </c>
      <c r="D212" t="s">
        <v>42</v>
      </c>
      <c r="E212" t="s">
        <v>167</v>
      </c>
      <c r="F212" t="s">
        <v>586</v>
      </c>
      <c r="G212" t="s">
        <v>50</v>
      </c>
      <c r="H212" t="s">
        <v>17</v>
      </c>
      <c r="I212" t="s">
        <v>145</v>
      </c>
      <c r="J212" t="s">
        <v>587</v>
      </c>
      <c r="K212" t="s">
        <v>96</v>
      </c>
      <c r="L212" t="s">
        <v>116</v>
      </c>
    </row>
    <row r="213" spans="1:12" x14ac:dyDescent="0.3">
      <c r="A213">
        <v>1490</v>
      </c>
      <c r="B213" t="s">
        <v>120</v>
      </c>
      <c r="C213">
        <v>24</v>
      </c>
      <c r="D213" t="s">
        <v>55</v>
      </c>
      <c r="E213" t="s">
        <v>84</v>
      </c>
      <c r="F213" t="s">
        <v>588</v>
      </c>
      <c r="G213" t="s">
        <v>16</v>
      </c>
      <c r="H213" t="s">
        <v>37</v>
      </c>
      <c r="I213" t="s">
        <v>568</v>
      </c>
      <c r="J213" t="s">
        <v>589</v>
      </c>
      <c r="K213" t="s">
        <v>60</v>
      </c>
      <c r="L213" t="s">
        <v>116</v>
      </c>
    </row>
    <row r="214" spans="1:12" x14ac:dyDescent="0.3">
      <c r="A214">
        <v>1123</v>
      </c>
      <c r="B214" t="s">
        <v>12</v>
      </c>
      <c r="C214">
        <v>25</v>
      </c>
      <c r="D214" t="s">
        <v>33</v>
      </c>
      <c r="E214" t="s">
        <v>84</v>
      </c>
      <c r="F214" t="s">
        <v>590</v>
      </c>
      <c r="G214" t="s">
        <v>23</v>
      </c>
      <c r="H214" t="s">
        <v>130</v>
      </c>
      <c r="I214" t="s">
        <v>469</v>
      </c>
      <c r="J214" t="s">
        <v>437</v>
      </c>
      <c r="K214" t="s">
        <v>20</v>
      </c>
      <c r="L214" t="s">
        <v>101</v>
      </c>
    </row>
    <row r="215" spans="1:12" x14ac:dyDescent="0.3">
      <c r="A215">
        <v>1497</v>
      </c>
      <c r="B215" t="s">
        <v>163</v>
      </c>
      <c r="C215">
        <v>24</v>
      </c>
      <c r="D215" t="s">
        <v>102</v>
      </c>
      <c r="E215" t="s">
        <v>121</v>
      </c>
      <c r="F215" t="s">
        <v>591</v>
      </c>
      <c r="G215" t="s">
        <v>36</v>
      </c>
      <c r="H215" t="s">
        <v>104</v>
      </c>
      <c r="I215" t="s">
        <v>592</v>
      </c>
      <c r="J215" t="s">
        <v>593</v>
      </c>
      <c r="K215" t="s">
        <v>60</v>
      </c>
      <c r="L215" t="s">
        <v>41</v>
      </c>
    </row>
    <row r="216" spans="1:12" x14ac:dyDescent="0.3">
      <c r="A216">
        <v>1135</v>
      </c>
      <c r="B216" t="s">
        <v>74</v>
      </c>
      <c r="C216">
        <v>23</v>
      </c>
      <c r="D216" t="s">
        <v>42</v>
      </c>
      <c r="E216" t="s">
        <v>43</v>
      </c>
      <c r="F216" t="s">
        <v>594</v>
      </c>
      <c r="G216" t="s">
        <v>86</v>
      </c>
      <c r="H216" t="s">
        <v>104</v>
      </c>
      <c r="I216" t="s">
        <v>253</v>
      </c>
      <c r="J216" t="s">
        <v>595</v>
      </c>
      <c r="K216" t="s">
        <v>53</v>
      </c>
      <c r="L216" t="s">
        <v>101</v>
      </c>
    </row>
    <row r="217" spans="1:12" x14ac:dyDescent="0.3">
      <c r="A217">
        <v>1269</v>
      </c>
      <c r="B217" t="s">
        <v>107</v>
      </c>
      <c r="C217">
        <v>25</v>
      </c>
      <c r="D217" t="s">
        <v>55</v>
      </c>
      <c r="E217" t="s">
        <v>80</v>
      </c>
      <c r="F217" t="s">
        <v>596</v>
      </c>
      <c r="G217" t="s">
        <v>141</v>
      </c>
      <c r="H217" t="s">
        <v>28</v>
      </c>
      <c r="I217" t="s">
        <v>597</v>
      </c>
      <c r="J217" t="s">
        <v>161</v>
      </c>
      <c r="K217" t="s">
        <v>53</v>
      </c>
      <c r="L217" t="s">
        <v>31</v>
      </c>
    </row>
    <row r="218" spans="1:12" x14ac:dyDescent="0.3">
      <c r="A218">
        <v>1428</v>
      </c>
      <c r="B218" t="s">
        <v>47</v>
      </c>
      <c r="C218">
        <v>19</v>
      </c>
      <c r="D218" t="s">
        <v>102</v>
      </c>
      <c r="E218" t="s">
        <v>34</v>
      </c>
      <c r="F218" t="s">
        <v>598</v>
      </c>
      <c r="G218" t="s">
        <v>36</v>
      </c>
      <c r="H218" t="s">
        <v>37</v>
      </c>
      <c r="I218" t="s">
        <v>127</v>
      </c>
      <c r="J218" t="s">
        <v>599</v>
      </c>
      <c r="K218" t="s">
        <v>20</v>
      </c>
      <c r="L218" t="s">
        <v>101</v>
      </c>
    </row>
    <row r="219" spans="1:12" x14ac:dyDescent="0.3">
      <c r="A219">
        <v>1251</v>
      </c>
      <c r="B219" t="s">
        <v>120</v>
      </c>
      <c r="C219">
        <v>19</v>
      </c>
      <c r="D219" t="s">
        <v>102</v>
      </c>
      <c r="E219" t="s">
        <v>84</v>
      </c>
      <c r="F219" t="s">
        <v>600</v>
      </c>
      <c r="G219" t="s">
        <v>66</v>
      </c>
      <c r="H219" t="s">
        <v>104</v>
      </c>
      <c r="I219" t="s">
        <v>601</v>
      </c>
      <c r="J219" t="s">
        <v>602</v>
      </c>
      <c r="K219" t="s">
        <v>53</v>
      </c>
      <c r="L219" t="s">
        <v>101</v>
      </c>
    </row>
    <row r="220" spans="1:12" x14ac:dyDescent="0.3">
      <c r="A220">
        <v>1257</v>
      </c>
      <c r="B220" t="s">
        <v>136</v>
      </c>
      <c r="C220">
        <v>24</v>
      </c>
      <c r="D220" t="s">
        <v>13</v>
      </c>
      <c r="E220" t="s">
        <v>48</v>
      </c>
      <c r="F220" t="s">
        <v>603</v>
      </c>
      <c r="G220" t="s">
        <v>141</v>
      </c>
      <c r="H220" t="s">
        <v>17</v>
      </c>
      <c r="I220" t="s">
        <v>604</v>
      </c>
      <c r="J220" t="s">
        <v>376</v>
      </c>
      <c r="K220" t="s">
        <v>20</v>
      </c>
      <c r="L220" t="s">
        <v>31</v>
      </c>
    </row>
    <row r="221" spans="1:12" x14ac:dyDescent="0.3">
      <c r="A221">
        <v>1247</v>
      </c>
      <c r="B221" t="s">
        <v>22</v>
      </c>
      <c r="C221">
        <v>24</v>
      </c>
      <c r="D221" t="s">
        <v>33</v>
      </c>
      <c r="E221" t="s">
        <v>34</v>
      </c>
      <c r="F221" t="s">
        <v>605</v>
      </c>
      <c r="G221" t="s">
        <v>141</v>
      </c>
      <c r="H221" t="s">
        <v>218</v>
      </c>
      <c r="I221" t="s">
        <v>158</v>
      </c>
      <c r="J221" t="s">
        <v>30</v>
      </c>
      <c r="K221" t="s">
        <v>20</v>
      </c>
      <c r="L221" t="s">
        <v>41</v>
      </c>
    </row>
    <row r="222" spans="1:12" x14ac:dyDescent="0.3">
      <c r="A222">
        <v>1169</v>
      </c>
      <c r="B222" t="s">
        <v>136</v>
      </c>
      <c r="C222">
        <v>22</v>
      </c>
      <c r="D222" t="s">
        <v>102</v>
      </c>
      <c r="E222" t="s">
        <v>167</v>
      </c>
      <c r="F222" t="s">
        <v>606</v>
      </c>
      <c r="G222" t="s">
        <v>27</v>
      </c>
      <c r="H222" t="s">
        <v>110</v>
      </c>
      <c r="I222" t="s">
        <v>607</v>
      </c>
      <c r="J222" t="s">
        <v>216</v>
      </c>
      <c r="K222" t="s">
        <v>40</v>
      </c>
      <c r="L222" t="s">
        <v>61</v>
      </c>
    </row>
    <row r="223" spans="1:12" x14ac:dyDescent="0.3">
      <c r="A223">
        <v>1206</v>
      </c>
      <c r="B223" t="s">
        <v>79</v>
      </c>
      <c r="C223" t="s">
        <v>62</v>
      </c>
      <c r="D223" t="s">
        <v>33</v>
      </c>
      <c r="E223" t="s">
        <v>43</v>
      </c>
      <c r="F223" t="s">
        <v>608</v>
      </c>
      <c r="G223" t="s">
        <v>86</v>
      </c>
      <c r="H223" t="s">
        <v>37</v>
      </c>
      <c r="I223" t="s">
        <v>568</v>
      </c>
      <c r="J223" t="s">
        <v>609</v>
      </c>
      <c r="K223" t="s">
        <v>33</v>
      </c>
      <c r="L223" t="s">
        <v>101</v>
      </c>
    </row>
    <row r="224" spans="1:12" x14ac:dyDescent="0.3">
      <c r="A224">
        <v>1440</v>
      </c>
      <c r="B224" t="s">
        <v>47</v>
      </c>
      <c r="C224">
        <v>18</v>
      </c>
      <c r="D224" t="s">
        <v>24</v>
      </c>
      <c r="E224" t="s">
        <v>14</v>
      </c>
      <c r="F224" t="s">
        <v>610</v>
      </c>
      <c r="G224" t="s">
        <v>71</v>
      </c>
      <c r="H224" t="s">
        <v>28</v>
      </c>
      <c r="I224" t="s">
        <v>611</v>
      </c>
      <c r="J224" t="s">
        <v>593</v>
      </c>
      <c r="K224" t="s">
        <v>60</v>
      </c>
      <c r="L224" t="s">
        <v>78</v>
      </c>
    </row>
    <row r="225" spans="1:12" x14ac:dyDescent="0.3">
      <c r="A225">
        <v>1471</v>
      </c>
      <c r="B225" t="s">
        <v>107</v>
      </c>
      <c r="C225" t="s">
        <v>23</v>
      </c>
      <c r="D225" t="s">
        <v>42</v>
      </c>
      <c r="E225" t="s">
        <v>64</v>
      </c>
      <c r="F225" t="s">
        <v>612</v>
      </c>
      <c r="G225" t="s">
        <v>16</v>
      </c>
      <c r="H225" t="s">
        <v>104</v>
      </c>
      <c r="I225" t="s">
        <v>403</v>
      </c>
      <c r="J225" t="s">
        <v>613</v>
      </c>
      <c r="K225" t="s">
        <v>40</v>
      </c>
      <c r="L225" t="s">
        <v>116</v>
      </c>
    </row>
    <row r="226" spans="1:12" x14ac:dyDescent="0.3">
      <c r="A226">
        <v>1063</v>
      </c>
      <c r="B226" t="s">
        <v>163</v>
      </c>
      <c r="C226" t="s">
        <v>62</v>
      </c>
      <c r="D226" t="s">
        <v>55</v>
      </c>
      <c r="E226" t="s">
        <v>48</v>
      </c>
      <c r="F226" t="s">
        <v>614</v>
      </c>
      <c r="G226" t="s">
        <v>16</v>
      </c>
      <c r="H226" t="s">
        <v>110</v>
      </c>
      <c r="I226" t="s">
        <v>290</v>
      </c>
      <c r="J226" t="s">
        <v>188</v>
      </c>
      <c r="K226" t="s">
        <v>20</v>
      </c>
      <c r="L226" t="s">
        <v>31</v>
      </c>
    </row>
    <row r="227" spans="1:12" x14ac:dyDescent="0.3">
      <c r="A227">
        <v>1481</v>
      </c>
      <c r="B227" t="s">
        <v>22</v>
      </c>
      <c r="C227">
        <v>21</v>
      </c>
      <c r="D227" t="s">
        <v>69</v>
      </c>
      <c r="E227" t="s">
        <v>167</v>
      </c>
      <c r="F227" t="s">
        <v>615</v>
      </c>
      <c r="G227" t="s">
        <v>36</v>
      </c>
      <c r="H227" t="s">
        <v>90</v>
      </c>
      <c r="I227" t="s">
        <v>151</v>
      </c>
      <c r="J227" t="s">
        <v>551</v>
      </c>
      <c r="K227" t="s">
        <v>96</v>
      </c>
      <c r="L227" t="s">
        <v>21</v>
      </c>
    </row>
    <row r="228" spans="1:12" x14ac:dyDescent="0.3">
      <c r="A228">
        <v>1003</v>
      </c>
      <c r="B228" t="s">
        <v>120</v>
      </c>
      <c r="C228" t="s">
        <v>97</v>
      </c>
      <c r="D228" t="s">
        <v>63</v>
      </c>
      <c r="E228" t="s">
        <v>34</v>
      </c>
      <c r="F228" t="s">
        <v>616</v>
      </c>
      <c r="G228" t="s">
        <v>141</v>
      </c>
      <c r="H228" t="s">
        <v>142</v>
      </c>
      <c r="I228" t="s">
        <v>338</v>
      </c>
      <c r="J228" t="s">
        <v>609</v>
      </c>
      <c r="K228" t="s">
        <v>96</v>
      </c>
      <c r="L228" t="s">
        <v>54</v>
      </c>
    </row>
    <row r="229" spans="1:12" x14ac:dyDescent="0.3">
      <c r="A229">
        <v>1017</v>
      </c>
      <c r="B229" t="s">
        <v>79</v>
      </c>
      <c r="C229">
        <v>23</v>
      </c>
      <c r="D229" t="s">
        <v>13</v>
      </c>
      <c r="E229" t="s">
        <v>25</v>
      </c>
      <c r="F229" t="s">
        <v>617</v>
      </c>
      <c r="G229" t="s">
        <v>23</v>
      </c>
      <c r="H229" t="s">
        <v>76</v>
      </c>
      <c r="I229" t="s">
        <v>437</v>
      </c>
      <c r="J229" t="s">
        <v>618</v>
      </c>
      <c r="K229" t="s">
        <v>20</v>
      </c>
      <c r="L229" t="s">
        <v>21</v>
      </c>
    </row>
    <row r="230" spans="1:12" x14ac:dyDescent="0.3">
      <c r="A230">
        <v>1088</v>
      </c>
      <c r="B230" t="s">
        <v>163</v>
      </c>
      <c r="C230">
        <v>21</v>
      </c>
      <c r="D230" t="s">
        <v>55</v>
      </c>
      <c r="E230" t="s">
        <v>80</v>
      </c>
      <c r="F230" t="s">
        <v>619</v>
      </c>
      <c r="G230" t="s">
        <v>50</v>
      </c>
      <c r="H230" t="s">
        <v>76</v>
      </c>
      <c r="I230" t="s">
        <v>228</v>
      </c>
      <c r="J230" t="s">
        <v>250</v>
      </c>
      <c r="K230" t="s">
        <v>96</v>
      </c>
      <c r="L230" t="s">
        <v>41</v>
      </c>
    </row>
    <row r="231" spans="1:12" x14ac:dyDescent="0.3">
      <c r="A231">
        <v>1238</v>
      </c>
      <c r="B231" t="s">
        <v>107</v>
      </c>
      <c r="C231">
        <v>21</v>
      </c>
      <c r="D231" t="s">
        <v>42</v>
      </c>
      <c r="E231" t="s">
        <v>25</v>
      </c>
      <c r="F231" t="s">
        <v>620</v>
      </c>
      <c r="G231" t="s">
        <v>27</v>
      </c>
      <c r="H231" t="s">
        <v>130</v>
      </c>
      <c r="I231" t="s">
        <v>621</v>
      </c>
      <c r="J231" t="s">
        <v>622</v>
      </c>
      <c r="K231" t="s">
        <v>60</v>
      </c>
      <c r="L231" t="s">
        <v>41</v>
      </c>
    </row>
    <row r="232" spans="1:12" x14ac:dyDescent="0.3">
      <c r="A232">
        <v>1215</v>
      </c>
      <c r="B232" t="s">
        <v>32</v>
      </c>
      <c r="C232" t="s">
        <v>97</v>
      </c>
      <c r="D232" t="s">
        <v>108</v>
      </c>
      <c r="E232" t="s">
        <v>156</v>
      </c>
      <c r="F232" t="s">
        <v>623</v>
      </c>
      <c r="G232" t="s">
        <v>16</v>
      </c>
      <c r="H232" t="s">
        <v>142</v>
      </c>
      <c r="I232" t="s">
        <v>52</v>
      </c>
      <c r="J232" t="s">
        <v>349</v>
      </c>
      <c r="K232" t="s">
        <v>40</v>
      </c>
      <c r="L232" t="s">
        <v>31</v>
      </c>
    </row>
    <row r="233" spans="1:12" x14ac:dyDescent="0.3">
      <c r="A233">
        <v>1197</v>
      </c>
      <c r="B233" t="s">
        <v>22</v>
      </c>
      <c r="C233">
        <v>25</v>
      </c>
      <c r="D233" t="s">
        <v>102</v>
      </c>
      <c r="E233" t="s">
        <v>121</v>
      </c>
      <c r="F233" t="s">
        <v>624</v>
      </c>
      <c r="G233" t="s">
        <v>86</v>
      </c>
      <c r="H233" t="s">
        <v>76</v>
      </c>
      <c r="I233" t="s">
        <v>516</v>
      </c>
      <c r="J233" t="s">
        <v>455</v>
      </c>
      <c r="K233" t="s">
        <v>60</v>
      </c>
      <c r="L233" t="s">
        <v>21</v>
      </c>
    </row>
    <row r="234" spans="1:12" x14ac:dyDescent="0.3">
      <c r="A234">
        <v>1097</v>
      </c>
      <c r="B234" t="s">
        <v>22</v>
      </c>
      <c r="C234">
        <v>18</v>
      </c>
      <c r="D234" t="s">
        <v>55</v>
      </c>
      <c r="E234" t="s">
        <v>64</v>
      </c>
      <c r="F234" t="s">
        <v>625</v>
      </c>
      <c r="G234" t="s">
        <v>16</v>
      </c>
      <c r="H234" t="s">
        <v>130</v>
      </c>
      <c r="I234" t="s">
        <v>416</v>
      </c>
      <c r="J234" t="s">
        <v>431</v>
      </c>
      <c r="K234" t="s">
        <v>53</v>
      </c>
      <c r="L234" t="s">
        <v>78</v>
      </c>
    </row>
    <row r="235" spans="1:12" x14ac:dyDescent="0.3">
      <c r="A235">
        <v>1050</v>
      </c>
      <c r="B235" t="s">
        <v>136</v>
      </c>
      <c r="C235">
        <v>19</v>
      </c>
      <c r="D235" t="s">
        <v>102</v>
      </c>
      <c r="E235" t="s">
        <v>121</v>
      </c>
      <c r="F235" t="s">
        <v>626</v>
      </c>
      <c r="G235" t="s">
        <v>27</v>
      </c>
      <c r="H235" t="s">
        <v>90</v>
      </c>
      <c r="I235" t="s">
        <v>457</v>
      </c>
      <c r="J235" t="s">
        <v>292</v>
      </c>
      <c r="K235" t="s">
        <v>40</v>
      </c>
      <c r="L235" t="s">
        <v>116</v>
      </c>
    </row>
    <row r="236" spans="1:12" x14ac:dyDescent="0.3">
      <c r="A236">
        <v>1357</v>
      </c>
      <c r="B236" t="s">
        <v>117</v>
      </c>
      <c r="C236">
        <v>25</v>
      </c>
      <c r="D236" t="s">
        <v>63</v>
      </c>
      <c r="E236" t="s">
        <v>64</v>
      </c>
      <c r="F236" t="s">
        <v>627</v>
      </c>
      <c r="G236" t="s">
        <v>50</v>
      </c>
      <c r="H236" t="s">
        <v>76</v>
      </c>
      <c r="I236" t="s">
        <v>628</v>
      </c>
      <c r="J236" t="s">
        <v>629</v>
      </c>
      <c r="K236" t="s">
        <v>33</v>
      </c>
      <c r="L236" t="s">
        <v>78</v>
      </c>
    </row>
    <row r="237" spans="1:12" x14ac:dyDescent="0.3">
      <c r="A237">
        <v>1130</v>
      </c>
      <c r="B237" t="s">
        <v>22</v>
      </c>
      <c r="C237">
        <v>20</v>
      </c>
      <c r="D237" t="s">
        <v>69</v>
      </c>
      <c r="E237" t="s">
        <v>34</v>
      </c>
      <c r="F237" t="s">
        <v>630</v>
      </c>
      <c r="G237" t="s">
        <v>71</v>
      </c>
      <c r="H237" t="s">
        <v>37</v>
      </c>
      <c r="I237" t="s">
        <v>283</v>
      </c>
      <c r="J237" t="s">
        <v>631</v>
      </c>
      <c r="K237" t="s">
        <v>40</v>
      </c>
      <c r="L237" t="s">
        <v>21</v>
      </c>
    </row>
    <row r="238" spans="1:12" x14ac:dyDescent="0.3">
      <c r="A238">
        <v>1146</v>
      </c>
      <c r="B238" t="s">
        <v>32</v>
      </c>
      <c r="C238">
        <v>21</v>
      </c>
      <c r="D238" t="s">
        <v>42</v>
      </c>
      <c r="E238" t="s">
        <v>25</v>
      </c>
      <c r="F238" t="s">
        <v>632</v>
      </c>
      <c r="G238" t="s">
        <v>36</v>
      </c>
      <c r="H238" t="s">
        <v>28</v>
      </c>
      <c r="I238" t="s">
        <v>566</v>
      </c>
      <c r="J238" t="s">
        <v>38</v>
      </c>
      <c r="K238" t="s">
        <v>60</v>
      </c>
      <c r="L238" t="s">
        <v>54</v>
      </c>
    </row>
    <row r="239" spans="1:12" x14ac:dyDescent="0.3">
      <c r="A239">
        <v>1302</v>
      </c>
      <c r="B239" t="s">
        <v>74</v>
      </c>
      <c r="C239">
        <v>23</v>
      </c>
      <c r="D239" t="s">
        <v>102</v>
      </c>
      <c r="E239" t="s">
        <v>34</v>
      </c>
      <c r="F239" t="s">
        <v>633</v>
      </c>
      <c r="G239" t="s">
        <v>66</v>
      </c>
      <c r="H239" t="s">
        <v>218</v>
      </c>
      <c r="I239" t="s">
        <v>634</v>
      </c>
      <c r="J239" t="s">
        <v>293</v>
      </c>
      <c r="K239" t="s">
        <v>40</v>
      </c>
      <c r="L239" t="s">
        <v>21</v>
      </c>
    </row>
    <row r="240" spans="1:12" x14ac:dyDescent="0.3">
      <c r="A240">
        <v>1045</v>
      </c>
      <c r="B240" t="s">
        <v>79</v>
      </c>
      <c r="C240" t="s">
        <v>128</v>
      </c>
      <c r="D240" t="s">
        <v>108</v>
      </c>
      <c r="E240" t="s">
        <v>156</v>
      </c>
      <c r="F240" t="s">
        <v>635</v>
      </c>
      <c r="G240" t="s">
        <v>66</v>
      </c>
      <c r="H240" t="s">
        <v>17</v>
      </c>
      <c r="I240" t="s">
        <v>335</v>
      </c>
      <c r="J240" t="s">
        <v>636</v>
      </c>
      <c r="K240" t="s">
        <v>33</v>
      </c>
      <c r="L240" t="s">
        <v>116</v>
      </c>
    </row>
    <row r="241" spans="1:12" x14ac:dyDescent="0.3">
      <c r="A241">
        <v>1441</v>
      </c>
      <c r="B241" t="s">
        <v>155</v>
      </c>
      <c r="C241">
        <v>23</v>
      </c>
      <c r="D241" t="s">
        <v>42</v>
      </c>
      <c r="E241" t="s">
        <v>25</v>
      </c>
      <c r="F241" t="s">
        <v>637</v>
      </c>
      <c r="G241" t="s">
        <v>71</v>
      </c>
      <c r="H241" t="s">
        <v>110</v>
      </c>
      <c r="I241" t="s">
        <v>181</v>
      </c>
      <c r="J241" t="s">
        <v>73</v>
      </c>
      <c r="K241" t="s">
        <v>20</v>
      </c>
      <c r="L241" t="s">
        <v>31</v>
      </c>
    </row>
    <row r="242" spans="1:12" x14ac:dyDescent="0.3">
      <c r="A242">
        <v>1419</v>
      </c>
      <c r="B242" t="s">
        <v>120</v>
      </c>
      <c r="C242">
        <v>18</v>
      </c>
      <c r="D242" t="s">
        <v>55</v>
      </c>
      <c r="E242" t="s">
        <v>25</v>
      </c>
      <c r="F242" t="s">
        <v>638</v>
      </c>
      <c r="G242" t="s">
        <v>57</v>
      </c>
      <c r="H242" t="s">
        <v>218</v>
      </c>
      <c r="I242" t="s">
        <v>236</v>
      </c>
      <c r="J242" t="s">
        <v>639</v>
      </c>
      <c r="K242" t="s">
        <v>33</v>
      </c>
      <c r="L242" t="s">
        <v>31</v>
      </c>
    </row>
    <row r="243" spans="1:12" x14ac:dyDescent="0.3">
      <c r="A243">
        <v>1018</v>
      </c>
      <c r="B243" t="s">
        <v>120</v>
      </c>
      <c r="C243">
        <v>20</v>
      </c>
      <c r="D243" t="s">
        <v>24</v>
      </c>
      <c r="E243" t="s">
        <v>34</v>
      </c>
      <c r="F243" t="s">
        <v>640</v>
      </c>
      <c r="G243" t="s">
        <v>66</v>
      </c>
      <c r="H243" t="s">
        <v>110</v>
      </c>
      <c r="I243" t="s">
        <v>641</v>
      </c>
      <c r="J243" t="s">
        <v>184</v>
      </c>
      <c r="K243" t="s">
        <v>60</v>
      </c>
      <c r="L243" t="s">
        <v>116</v>
      </c>
    </row>
    <row r="244" spans="1:12" x14ac:dyDescent="0.3">
      <c r="A244">
        <v>1475</v>
      </c>
      <c r="B244" t="s">
        <v>79</v>
      </c>
      <c r="C244">
        <v>23</v>
      </c>
      <c r="D244" t="s">
        <v>13</v>
      </c>
      <c r="E244" t="s">
        <v>14</v>
      </c>
      <c r="F244" t="s">
        <v>642</v>
      </c>
      <c r="G244" t="s">
        <v>141</v>
      </c>
      <c r="H244" t="s">
        <v>104</v>
      </c>
      <c r="I244" t="s">
        <v>643</v>
      </c>
      <c r="J244" t="s">
        <v>328</v>
      </c>
      <c r="K244" t="s">
        <v>33</v>
      </c>
      <c r="L244" t="s">
        <v>54</v>
      </c>
    </row>
    <row r="245" spans="1:12" x14ac:dyDescent="0.3">
      <c r="A245">
        <v>1174</v>
      </c>
      <c r="B245" t="s">
        <v>79</v>
      </c>
      <c r="C245" t="s">
        <v>128</v>
      </c>
      <c r="D245" t="s">
        <v>108</v>
      </c>
      <c r="E245" t="s">
        <v>48</v>
      </c>
      <c r="F245" t="s">
        <v>644</v>
      </c>
      <c r="G245" t="s">
        <v>23</v>
      </c>
      <c r="H245" t="s">
        <v>142</v>
      </c>
      <c r="I245" t="s">
        <v>46</v>
      </c>
      <c r="J245" t="s">
        <v>645</v>
      </c>
      <c r="K245" t="s">
        <v>96</v>
      </c>
      <c r="L245" t="s">
        <v>41</v>
      </c>
    </row>
    <row r="246" spans="1:12" x14ac:dyDescent="0.3">
      <c r="A246">
        <v>1438</v>
      </c>
      <c r="B246" t="s">
        <v>12</v>
      </c>
      <c r="C246" t="s">
        <v>97</v>
      </c>
      <c r="D246" t="s">
        <v>33</v>
      </c>
      <c r="E246" t="s">
        <v>80</v>
      </c>
      <c r="F246" t="s">
        <v>646</v>
      </c>
      <c r="G246" t="s">
        <v>71</v>
      </c>
      <c r="H246" t="s">
        <v>218</v>
      </c>
      <c r="I246" t="s">
        <v>647</v>
      </c>
      <c r="J246" t="s">
        <v>648</v>
      </c>
      <c r="K246" t="s">
        <v>60</v>
      </c>
      <c r="L246" t="s">
        <v>54</v>
      </c>
    </row>
    <row r="247" spans="1:12" x14ac:dyDescent="0.3">
      <c r="A247">
        <v>1073</v>
      </c>
      <c r="B247" t="s">
        <v>107</v>
      </c>
      <c r="C247" t="s">
        <v>62</v>
      </c>
      <c r="D247" t="s">
        <v>102</v>
      </c>
      <c r="E247" t="s">
        <v>34</v>
      </c>
      <c r="F247" t="s">
        <v>649</v>
      </c>
      <c r="G247" t="s">
        <v>36</v>
      </c>
      <c r="H247" t="s">
        <v>218</v>
      </c>
      <c r="I247" t="s">
        <v>650</v>
      </c>
      <c r="J247" t="s">
        <v>478</v>
      </c>
      <c r="K247" t="s">
        <v>33</v>
      </c>
      <c r="L247" t="s">
        <v>41</v>
      </c>
    </row>
    <row r="248" spans="1:12" x14ac:dyDescent="0.3">
      <c r="A248">
        <v>1465</v>
      </c>
      <c r="B248" t="s">
        <v>47</v>
      </c>
      <c r="C248">
        <v>25</v>
      </c>
      <c r="D248" t="s">
        <v>33</v>
      </c>
      <c r="E248" t="s">
        <v>167</v>
      </c>
      <c r="F248" t="s">
        <v>651</v>
      </c>
      <c r="G248" t="s">
        <v>27</v>
      </c>
      <c r="H248" t="s">
        <v>90</v>
      </c>
      <c r="I248" t="s">
        <v>370</v>
      </c>
      <c r="J248" t="s">
        <v>303</v>
      </c>
      <c r="K248" t="s">
        <v>33</v>
      </c>
      <c r="L248" t="s">
        <v>78</v>
      </c>
    </row>
    <row r="249" spans="1:12" x14ac:dyDescent="0.3">
      <c r="A249">
        <v>1062</v>
      </c>
      <c r="B249" t="s">
        <v>107</v>
      </c>
      <c r="C249" t="s">
        <v>62</v>
      </c>
      <c r="D249" t="s">
        <v>69</v>
      </c>
      <c r="E249" t="s">
        <v>34</v>
      </c>
      <c r="F249" t="s">
        <v>652</v>
      </c>
      <c r="G249" t="s">
        <v>141</v>
      </c>
      <c r="H249" t="s">
        <v>110</v>
      </c>
      <c r="I249" t="s">
        <v>653</v>
      </c>
      <c r="J249" t="s">
        <v>250</v>
      </c>
      <c r="K249" t="s">
        <v>96</v>
      </c>
      <c r="L249" t="s">
        <v>21</v>
      </c>
    </row>
    <row r="250" spans="1:12" x14ac:dyDescent="0.3">
      <c r="A250">
        <v>1195</v>
      </c>
      <c r="B250" t="s">
        <v>107</v>
      </c>
      <c r="C250">
        <v>25</v>
      </c>
      <c r="D250" t="s">
        <v>63</v>
      </c>
      <c r="E250" t="s">
        <v>84</v>
      </c>
      <c r="F250" t="s">
        <v>654</v>
      </c>
      <c r="G250" t="s">
        <v>71</v>
      </c>
      <c r="H250" t="s">
        <v>130</v>
      </c>
      <c r="I250" t="s">
        <v>329</v>
      </c>
      <c r="J250" t="s">
        <v>153</v>
      </c>
      <c r="K250" t="s">
        <v>60</v>
      </c>
      <c r="L250" t="s">
        <v>61</v>
      </c>
    </row>
    <row r="251" spans="1:12" x14ac:dyDescent="0.3">
      <c r="A251">
        <v>1139</v>
      </c>
      <c r="B251" t="s">
        <v>155</v>
      </c>
      <c r="C251">
        <v>22</v>
      </c>
      <c r="D251" t="s">
        <v>55</v>
      </c>
      <c r="E251" t="s">
        <v>14</v>
      </c>
      <c r="F251" t="s">
        <v>655</v>
      </c>
      <c r="G251" t="s">
        <v>57</v>
      </c>
      <c r="H251" t="s">
        <v>90</v>
      </c>
      <c r="I251" t="s">
        <v>636</v>
      </c>
      <c r="J251" t="s">
        <v>357</v>
      </c>
      <c r="K251" t="s">
        <v>20</v>
      </c>
      <c r="L251" t="s">
        <v>54</v>
      </c>
    </row>
    <row r="252" spans="1:12" x14ac:dyDescent="0.3">
      <c r="A252">
        <v>1365</v>
      </c>
      <c r="B252" t="s">
        <v>12</v>
      </c>
      <c r="C252">
        <v>20</v>
      </c>
      <c r="D252" t="s">
        <v>13</v>
      </c>
      <c r="E252" t="s">
        <v>14</v>
      </c>
      <c r="F252" t="s">
        <v>15</v>
      </c>
      <c r="G252" t="s">
        <v>16</v>
      </c>
      <c r="H252" t="s">
        <v>17</v>
      </c>
      <c r="I252" t="s">
        <v>18</v>
      </c>
      <c r="J252" t="s">
        <v>19</v>
      </c>
      <c r="K252" t="s">
        <v>20</v>
      </c>
      <c r="L252" t="s">
        <v>21</v>
      </c>
    </row>
    <row r="253" spans="1:12" x14ac:dyDescent="0.3">
      <c r="A253">
        <v>1382</v>
      </c>
      <c r="B253" t="s">
        <v>22</v>
      </c>
      <c r="C253" t="s">
        <v>23</v>
      </c>
      <c r="D253" t="s">
        <v>24</v>
      </c>
      <c r="E253" t="s">
        <v>25</v>
      </c>
      <c r="F253" t="s">
        <v>26</v>
      </c>
      <c r="G253" t="s">
        <v>27</v>
      </c>
      <c r="H253" t="s">
        <v>28</v>
      </c>
      <c r="I253" t="s">
        <v>29</v>
      </c>
      <c r="J253" t="s">
        <v>30</v>
      </c>
      <c r="K253" t="s">
        <v>20</v>
      </c>
      <c r="L253" t="s">
        <v>31</v>
      </c>
    </row>
    <row r="254" spans="1:12" x14ac:dyDescent="0.3">
      <c r="A254">
        <v>1322</v>
      </c>
      <c r="B254" t="s">
        <v>32</v>
      </c>
      <c r="C254">
        <v>25</v>
      </c>
      <c r="D254" t="s">
        <v>33</v>
      </c>
      <c r="E254" t="s">
        <v>34</v>
      </c>
      <c r="F254" t="s">
        <v>35</v>
      </c>
      <c r="G254" t="s">
        <v>36</v>
      </c>
      <c r="H254" t="s">
        <v>37</v>
      </c>
      <c r="I254" t="s">
        <v>38</v>
      </c>
      <c r="J254" t="s">
        <v>39</v>
      </c>
      <c r="K254" t="s">
        <v>40</v>
      </c>
      <c r="L254" t="s">
        <v>41</v>
      </c>
    </row>
    <row r="255" spans="1:12" x14ac:dyDescent="0.3">
      <c r="A255">
        <v>1476</v>
      </c>
      <c r="B255" t="s">
        <v>12</v>
      </c>
      <c r="C255">
        <v>21</v>
      </c>
      <c r="D255" t="s">
        <v>42</v>
      </c>
      <c r="E255" t="s">
        <v>43</v>
      </c>
      <c r="F255" t="s">
        <v>44</v>
      </c>
      <c r="G255" t="s">
        <v>23</v>
      </c>
      <c r="H255" t="s">
        <v>17</v>
      </c>
      <c r="I255" t="s">
        <v>45</v>
      </c>
      <c r="J255" t="s">
        <v>46</v>
      </c>
      <c r="K255" t="s">
        <v>33</v>
      </c>
      <c r="L255" t="s">
        <v>41</v>
      </c>
    </row>
    <row r="256" spans="1:12" x14ac:dyDescent="0.3">
      <c r="A256">
        <v>1098</v>
      </c>
      <c r="B256" t="s">
        <v>47</v>
      </c>
      <c r="C256">
        <v>19</v>
      </c>
      <c r="D256" t="s">
        <v>33</v>
      </c>
      <c r="E256" t="s">
        <v>48</v>
      </c>
      <c r="F256" t="s">
        <v>49</v>
      </c>
      <c r="G256" t="s">
        <v>50</v>
      </c>
      <c r="H256" t="s">
        <v>17</v>
      </c>
      <c r="I256" t="s">
        <v>51</v>
      </c>
      <c r="J256" t="s">
        <v>52</v>
      </c>
      <c r="K256" t="s">
        <v>53</v>
      </c>
      <c r="L256" t="s">
        <v>54</v>
      </c>
    </row>
    <row r="257" spans="1:12" x14ac:dyDescent="0.3">
      <c r="A257">
        <v>1230</v>
      </c>
      <c r="B257" t="s">
        <v>12</v>
      </c>
      <c r="C257">
        <v>21</v>
      </c>
      <c r="D257" t="s">
        <v>55</v>
      </c>
      <c r="E257" t="s">
        <v>43</v>
      </c>
      <c r="F257" t="s">
        <v>56</v>
      </c>
      <c r="G257" t="s">
        <v>57</v>
      </c>
      <c r="H257" t="s">
        <v>17</v>
      </c>
      <c r="I257" t="s">
        <v>58</v>
      </c>
      <c r="J257" t="s">
        <v>59</v>
      </c>
      <c r="K257" t="s">
        <v>60</v>
      </c>
      <c r="L257" t="s">
        <v>61</v>
      </c>
    </row>
    <row r="258" spans="1:12" x14ac:dyDescent="0.3">
      <c r="A258">
        <v>1017</v>
      </c>
      <c r="B258" t="s">
        <v>12</v>
      </c>
      <c r="C258" t="s">
        <v>62</v>
      </c>
      <c r="D258" t="s">
        <v>63</v>
      </c>
      <c r="E258" t="s">
        <v>64</v>
      </c>
      <c r="F258" t="s">
        <v>65</v>
      </c>
      <c r="G258" t="s">
        <v>66</v>
      </c>
      <c r="H258" t="s">
        <v>37</v>
      </c>
      <c r="I258" t="s">
        <v>67</v>
      </c>
      <c r="J258" t="s">
        <v>68</v>
      </c>
      <c r="K258" t="s">
        <v>53</v>
      </c>
      <c r="L258" t="s">
        <v>21</v>
      </c>
    </row>
    <row r="259" spans="1:12" x14ac:dyDescent="0.3">
      <c r="A259">
        <v>1083</v>
      </c>
      <c r="B259" t="s">
        <v>32</v>
      </c>
      <c r="C259">
        <v>21</v>
      </c>
      <c r="D259" t="s">
        <v>69</v>
      </c>
      <c r="E259" t="s">
        <v>48</v>
      </c>
      <c r="F259" t="s">
        <v>70</v>
      </c>
      <c r="G259" t="s">
        <v>71</v>
      </c>
      <c r="H259" t="s">
        <v>37</v>
      </c>
      <c r="I259" t="s">
        <v>72</v>
      </c>
      <c r="J259" t="s">
        <v>73</v>
      </c>
      <c r="K259" t="s">
        <v>33</v>
      </c>
      <c r="L259" t="s">
        <v>31</v>
      </c>
    </row>
    <row r="260" spans="1:12" x14ac:dyDescent="0.3">
      <c r="A260">
        <v>1106</v>
      </c>
      <c r="B260" t="s">
        <v>74</v>
      </c>
      <c r="C260">
        <v>24</v>
      </c>
      <c r="D260" t="s">
        <v>24</v>
      </c>
      <c r="E260" t="s">
        <v>34</v>
      </c>
      <c r="F260" t="s">
        <v>75</v>
      </c>
      <c r="G260" t="s">
        <v>71</v>
      </c>
      <c r="H260" t="s">
        <v>76</v>
      </c>
      <c r="I260" t="s">
        <v>77</v>
      </c>
      <c r="J260" t="s">
        <v>67</v>
      </c>
      <c r="K260" t="s">
        <v>40</v>
      </c>
      <c r="L260" t="s">
        <v>78</v>
      </c>
    </row>
    <row r="261" spans="1:12" x14ac:dyDescent="0.3">
      <c r="A261">
        <v>1123</v>
      </c>
      <c r="B261" t="s">
        <v>79</v>
      </c>
      <c r="C261">
        <v>20</v>
      </c>
      <c r="D261" t="s">
        <v>42</v>
      </c>
      <c r="E261" t="s">
        <v>80</v>
      </c>
      <c r="F261" t="s">
        <v>81</v>
      </c>
      <c r="G261" t="s">
        <v>71</v>
      </c>
      <c r="H261" t="s">
        <v>17</v>
      </c>
      <c r="I261" t="s">
        <v>82</v>
      </c>
      <c r="J261" t="s">
        <v>83</v>
      </c>
      <c r="K261" t="s">
        <v>53</v>
      </c>
      <c r="L261" t="s">
        <v>41</v>
      </c>
    </row>
    <row r="262" spans="1:12" x14ac:dyDescent="0.3">
      <c r="A262">
        <v>1057</v>
      </c>
      <c r="B262" t="s">
        <v>32</v>
      </c>
      <c r="C262">
        <v>21</v>
      </c>
      <c r="D262" t="s">
        <v>63</v>
      </c>
      <c r="E262" t="s">
        <v>84</v>
      </c>
      <c r="F262" t="s">
        <v>85</v>
      </c>
      <c r="G262" t="s">
        <v>86</v>
      </c>
      <c r="H262" t="s">
        <v>76</v>
      </c>
      <c r="I262" t="s">
        <v>87</v>
      </c>
      <c r="J262" t="s">
        <v>88</v>
      </c>
      <c r="K262" t="s">
        <v>53</v>
      </c>
      <c r="L262" t="s">
        <v>21</v>
      </c>
    </row>
    <row r="263" spans="1:12" x14ac:dyDescent="0.3">
      <c r="A263">
        <v>1214</v>
      </c>
      <c r="B263" t="s">
        <v>79</v>
      </c>
      <c r="C263">
        <v>19</v>
      </c>
      <c r="D263" t="s">
        <v>42</v>
      </c>
      <c r="E263" t="s">
        <v>84</v>
      </c>
      <c r="F263" t="s">
        <v>89</v>
      </c>
      <c r="G263" t="s">
        <v>23</v>
      </c>
      <c r="H263" t="s">
        <v>90</v>
      </c>
      <c r="I263" t="s">
        <v>91</v>
      </c>
      <c r="J263" t="s">
        <v>92</v>
      </c>
      <c r="K263" t="s">
        <v>40</v>
      </c>
      <c r="L263" t="s">
        <v>54</v>
      </c>
    </row>
    <row r="264" spans="1:12" x14ac:dyDescent="0.3">
      <c r="A264">
        <v>1225</v>
      </c>
      <c r="B264" t="s">
        <v>32</v>
      </c>
      <c r="C264" t="s">
        <v>62</v>
      </c>
      <c r="D264" t="s">
        <v>13</v>
      </c>
      <c r="E264" t="s">
        <v>25</v>
      </c>
      <c r="F264" t="s">
        <v>93</v>
      </c>
      <c r="G264" t="s">
        <v>66</v>
      </c>
      <c r="H264" t="s">
        <v>37</v>
      </c>
      <c r="I264" t="s">
        <v>94</v>
      </c>
      <c r="J264" t="s">
        <v>95</v>
      </c>
      <c r="K264" t="s">
        <v>96</v>
      </c>
      <c r="L264" t="s">
        <v>21</v>
      </c>
    </row>
    <row r="265" spans="1:12" x14ac:dyDescent="0.3">
      <c r="A265">
        <v>1096</v>
      </c>
      <c r="B265" t="s">
        <v>47</v>
      </c>
      <c r="C265" t="s">
        <v>97</v>
      </c>
      <c r="D265" t="s">
        <v>42</v>
      </c>
      <c r="E265" t="s">
        <v>25</v>
      </c>
      <c r="F265" t="s">
        <v>98</v>
      </c>
      <c r="G265" t="s">
        <v>66</v>
      </c>
      <c r="H265" t="s">
        <v>90</v>
      </c>
      <c r="I265" t="s">
        <v>99</v>
      </c>
      <c r="J265" t="s">
        <v>100</v>
      </c>
      <c r="K265" t="s">
        <v>96</v>
      </c>
      <c r="L265" t="s">
        <v>101</v>
      </c>
    </row>
    <row r="266" spans="1:12" x14ac:dyDescent="0.3">
      <c r="A266">
        <v>1113</v>
      </c>
      <c r="B266" t="s">
        <v>47</v>
      </c>
      <c r="C266">
        <v>18</v>
      </c>
      <c r="D266" t="s">
        <v>102</v>
      </c>
      <c r="E266" t="s">
        <v>43</v>
      </c>
      <c r="F266" t="s">
        <v>103</v>
      </c>
      <c r="G266" t="s">
        <v>50</v>
      </c>
      <c r="H266" t="s">
        <v>104</v>
      </c>
      <c r="I266" t="s">
        <v>105</v>
      </c>
      <c r="J266" t="s">
        <v>106</v>
      </c>
      <c r="K266" t="s">
        <v>33</v>
      </c>
      <c r="L266" t="s">
        <v>61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E06177-6510-47F5-B46E-FE2BD73450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Cleaned_Data</vt:lpstr>
      <vt:lpstr>Table1_6</vt:lpstr>
      <vt:lpstr>Table1_5</vt:lpstr>
      <vt:lpstr>Table1_4</vt:lpstr>
      <vt:lpstr>Table1_3</vt:lpstr>
      <vt:lpstr>Table1_2</vt:lpstr>
      <vt:lpstr>Table1_1</vt:lpstr>
      <vt:lpstr>Table1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Ronald Damo</cp:lastModifiedBy>
  <dcterms:created xsi:type="dcterms:W3CDTF">2025-11-28T06:37:37Z</dcterms:created>
  <dcterms:modified xsi:type="dcterms:W3CDTF">2025-11-30T12:30:15Z</dcterms:modified>
</cp:coreProperties>
</file>